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comments10.xml" ContentType="application/vnd.openxmlformats-officedocument.spreadsheetml.comments+xml"/>
  <Override PartName="/xl/threadedComments/threadedComment9.xml" ContentType="application/vnd.ms-excel.threadedcomments+xml"/>
  <Override PartName="/xl/comments11.xml" ContentType="application/vnd.openxmlformats-officedocument.spreadsheetml.comments+xml"/>
  <Override PartName="/xl/threadedComments/threadedComment10.xml" ContentType="application/vnd.ms-excel.threadedcomments+xml"/>
  <Override PartName="/xl/comments12.xml" ContentType="application/vnd.openxmlformats-officedocument.spreadsheetml.comments+xml"/>
  <Override PartName="/xl/threadedComments/threadedComment11.xml" ContentType="application/vnd.ms-excel.threadedcomments+xml"/>
  <Override PartName="/xl/comments13.xml" ContentType="application/vnd.openxmlformats-officedocument.spreadsheetml.comments+xml"/>
  <Override PartName="/xl/threadedComments/threadedComment12.xml" ContentType="application/vnd.ms-excel.threadedcomments+xml"/>
  <Override PartName="/xl/comments14.xml" ContentType="application/vnd.openxmlformats-officedocument.spreadsheetml.comments+xml"/>
  <Override PartName="/xl/threadedComments/threadedComment13.xml" ContentType="application/vnd.ms-excel.threadedcomments+xml"/>
  <Override PartName="/xl/comments15.xml" ContentType="application/vnd.openxmlformats-officedocument.spreadsheetml.comments+xml"/>
  <Override PartName="/xl/threadedComments/threadedComment14.xml" ContentType="application/vnd.ms-excel.threadedcomments+xml"/>
  <Override PartName="/xl/comments16.xml" ContentType="application/vnd.openxmlformats-officedocument.spreadsheetml.comments+xml"/>
  <Override PartName="/xl/threadedComments/threadedComment15.xml" ContentType="application/vnd.ms-excel.threadedcomments+xml"/>
  <Override PartName="/xl/comments17.xml" ContentType="application/vnd.openxmlformats-officedocument.spreadsheetml.comments+xml"/>
  <Override PartName="/xl/threadedComments/threadedComment16.xml" ContentType="application/vnd.ms-excel.threaded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omments18.xml" ContentType="application/vnd.openxmlformats-officedocument.spreadsheetml.comments+xml"/>
  <Override PartName="/xl/threadedComments/threadedComment17.xml" ContentType="application/vnd.ms-excel.threadedcomments+xml"/>
  <Override PartName="/xl/comments19.xml" ContentType="application/vnd.openxmlformats-officedocument.spreadsheetml.comments+xml"/>
  <Override PartName="/xl/threadedComments/threadedComment18.xml" ContentType="application/vnd.ms-excel.threadedcomments+xml"/>
  <Override PartName="/xl/comments20.xml" ContentType="application/vnd.openxmlformats-officedocument.spreadsheetml.comments+xml"/>
  <Override PartName="/xl/threadedComments/threadedComment19.xml" ContentType="application/vnd.ms-excel.threadedcomments+xml"/>
  <Override PartName="/xl/comments21.xml" ContentType="application/vnd.openxmlformats-officedocument.spreadsheetml.comments+xml"/>
  <Override PartName="/xl/threadedComments/threadedComment20.xml" ContentType="application/vnd.ms-excel.threadedcomments+xml"/>
  <Override PartName="/xl/comments22.xml" ContentType="application/vnd.openxmlformats-officedocument.spreadsheetml.comments+xml"/>
  <Override PartName="/xl/threadedComments/threadedComment21.xml" ContentType="application/vnd.ms-excel.threadedcomments+xml"/>
  <Override PartName="/xl/comments23.xml" ContentType="application/vnd.openxmlformats-officedocument.spreadsheetml.comments+xml"/>
  <Override PartName="/xl/threadedComments/threadedComment2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howInkAnnotation="0" codeName="ThisWorkbook"/>
  <mc:AlternateContent xmlns:mc="http://schemas.openxmlformats.org/markup-compatibility/2006">
    <mc:Choice Requires="x15">
      <x15ac:absPath xmlns:x15ac="http://schemas.microsoft.com/office/spreadsheetml/2010/11/ac" url="C:\ENM\CTAF_AUTOMATION\InputData\"/>
    </mc:Choice>
  </mc:AlternateContent>
  <xr:revisionPtr revIDLastSave="0" documentId="13_ncr:1_{43EDF390-A209-47E8-9322-7335A20FAE77}" xr6:coauthVersionLast="47" xr6:coauthVersionMax="47" xr10:uidLastSave="{00000000-0000-0000-0000-000000000000}"/>
  <bookViews>
    <workbookView xWindow="-93" yWindow="-93" windowWidth="25786" windowHeight="13866" tabRatio="760" firstSheet="18" activeTab="28" xr2:uid="{00000000-000D-0000-FFFF-FFFF00000000}"/>
  </bookViews>
  <sheets>
    <sheet name="Usage of Sheet" sheetId="17" r:id="rId1"/>
    <sheet name="Home Page" sheetId="69" r:id="rId2"/>
    <sheet name="ESM" sheetId="50" r:id="rId3"/>
    <sheet name="Add Node" sheetId="52" r:id="rId4"/>
    <sheet name="SHM" sheetId="57" r:id="rId5"/>
    <sheet name="CMCLI" sheetId="60" r:id="rId6"/>
    <sheet name="ClientScripting" sheetId="64" r:id="rId7"/>
    <sheet name="Configuration Management" sheetId="59" r:id="rId8"/>
    <sheet name="Bulk Configuration" sheetId="55" r:id="rId9"/>
    <sheet name="Security PKI" sheetId="29" r:id="rId10"/>
    <sheet name="Network Viewer" sheetId="56" r:id="rId11"/>
    <sheet name="NHC" sheetId="18" r:id="rId12"/>
    <sheet name="Topology Browser" sheetId="35" r:id="rId13"/>
    <sheet name="AutoID" sheetId="36" r:id="rId14"/>
    <sheet name="Parameter Management" sheetId="37" r:id="rId15"/>
    <sheet name="FMX" sheetId="53" r:id="rId16"/>
    <sheet name="Cell Management" sheetId="38" r:id="rId17"/>
    <sheet name="LV" sheetId="39" r:id="rId18"/>
    <sheet name="IDAM" sheetId="41" r:id="rId19"/>
    <sheet name="WinFIOL" sheetId="42" r:id="rId20"/>
    <sheet name="PLM" sheetId="45" r:id="rId21"/>
    <sheet name="High Availability" sheetId="47" r:id="rId22"/>
    <sheet name="Auto Provisioning" sheetId="48" r:id="rId23"/>
    <sheet name="User Management" sheetId="49" r:id="rId24"/>
    <sheet name="CM Add and Synchronize Node" sheetId="6" r:id="rId25"/>
    <sheet name="PMIC" sheetId="61" r:id="rId26"/>
    <sheet name="NHM" sheetId="10" r:id="rId27"/>
    <sheet name="FM" sheetId="9" r:id="rId28"/>
    <sheet name="AMOS" sheetId="30" r:id="rId29"/>
    <sheet name="NetworkExplorer" sheetId="11" r:id="rId30"/>
    <sheet name="License Control and Monitoring" sheetId="65" r:id="rId31"/>
    <sheet name="OPS" sheetId="66" r:id="rId32"/>
    <sheet name="Release Independence" sheetId="67" r:id="rId33"/>
    <sheet name="NCM" sheetId="68" r:id="rId34"/>
    <sheet name="Cleanup" sheetId="63"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4" i="69" l="1"/>
  <c r="D4" i="69"/>
  <c r="H4" i="69"/>
  <c r="G4" i="69"/>
  <c r="F4" i="69"/>
  <c r="E4" i="69"/>
  <c r="H6" i="69"/>
  <c r="G6" i="69"/>
  <c r="F6" i="69"/>
  <c r="E6" i="69"/>
  <c r="D6" i="69"/>
  <c r="H5" i="69"/>
  <c r="G5" i="69"/>
  <c r="F5" i="69"/>
  <c r="E5" i="69"/>
  <c r="D5" i="69"/>
  <c r="H7" i="69"/>
  <c r="G7" i="69"/>
  <c r="F7" i="69"/>
  <c r="E7" i="69"/>
  <c r="D7" i="69"/>
  <c r="H8" i="69"/>
  <c r="G8" i="69"/>
  <c r="F8" i="69"/>
  <c r="E8" i="69"/>
  <c r="D8" i="69"/>
  <c r="H9" i="69"/>
  <c r="G9" i="69"/>
  <c r="F9" i="69"/>
  <c r="E9" i="69"/>
  <c r="D9" i="69"/>
  <c r="H10" i="69"/>
  <c r="G10" i="69"/>
  <c r="F10" i="69"/>
  <c r="E10" i="69"/>
  <c r="D10" i="69"/>
  <c r="H11" i="69"/>
  <c r="G11" i="69"/>
  <c r="F11" i="69"/>
  <c r="E11" i="69"/>
  <c r="D11" i="69"/>
  <c r="H12" i="69"/>
  <c r="G12" i="69"/>
  <c r="F12" i="69"/>
  <c r="E12" i="69"/>
  <c r="D12" i="69"/>
  <c r="G13" i="69"/>
  <c r="H13" i="69"/>
  <c r="F13" i="69"/>
  <c r="E13" i="69"/>
  <c r="D13" i="69"/>
  <c r="H14" i="69"/>
  <c r="G14" i="69"/>
  <c r="F14" i="69"/>
  <c r="E14" i="69"/>
  <c r="D14" i="69"/>
  <c r="H15" i="69"/>
  <c r="G15" i="69"/>
  <c r="F15" i="69"/>
  <c r="E15" i="69"/>
  <c r="D15" i="69"/>
  <c r="H16" i="69"/>
  <c r="G16" i="69"/>
  <c r="F16" i="69"/>
  <c r="E16" i="69"/>
  <c r="D16" i="69"/>
  <c r="H17" i="69"/>
  <c r="G17" i="69"/>
  <c r="F17" i="69"/>
  <c r="E17" i="69"/>
  <c r="D17" i="69"/>
  <c r="H18" i="69"/>
  <c r="G18" i="69"/>
  <c r="F18" i="69"/>
  <c r="E18" i="69"/>
  <c r="D18" i="69"/>
  <c r="H19" i="69"/>
  <c r="G19" i="69"/>
  <c r="F19" i="69"/>
  <c r="E19" i="69"/>
  <c r="D19" i="69"/>
  <c r="H20" i="69"/>
  <c r="G20" i="69"/>
  <c r="F20" i="69"/>
  <c r="D20" i="69"/>
  <c r="E20" i="69"/>
  <c r="H21" i="69"/>
  <c r="G21" i="69"/>
  <c r="F21" i="69"/>
  <c r="E21" i="69"/>
  <c r="D21" i="69"/>
  <c r="H22" i="69"/>
  <c r="G22" i="69"/>
  <c r="F22" i="69"/>
  <c r="E22" i="69"/>
  <c r="D22" i="69"/>
  <c r="H23" i="69"/>
  <c r="G23" i="69"/>
  <c r="F23" i="69"/>
  <c r="E23" i="69"/>
  <c r="D23" i="69"/>
  <c r="H24" i="69"/>
  <c r="G24" i="69"/>
  <c r="F24" i="69"/>
  <c r="E24" i="69"/>
  <c r="D24" i="69"/>
  <c r="H25" i="69"/>
  <c r="G25" i="69"/>
  <c r="F25" i="69"/>
  <c r="E25" i="69"/>
  <c r="D25" i="69"/>
  <c r="H26" i="69"/>
  <c r="G26" i="69"/>
  <c r="F26" i="69"/>
  <c r="E26" i="69"/>
  <c r="D26" i="69"/>
  <c r="H27" i="69"/>
  <c r="G27" i="69"/>
  <c r="F27" i="69"/>
  <c r="E27" i="69"/>
  <c r="D27" i="69"/>
  <c r="H28" i="69"/>
  <c r="G28" i="69"/>
  <c r="F28" i="69"/>
  <c r="E28" i="69"/>
  <c r="D28" i="69"/>
  <c r="H29" i="69"/>
  <c r="G29" i="69"/>
  <c r="F29" i="69"/>
  <c r="E29" i="69"/>
  <c r="D29" i="69"/>
  <c r="H30" i="69"/>
  <c r="G30" i="69"/>
  <c r="F30" i="69"/>
  <c r="E30" i="69"/>
  <c r="D30" i="69"/>
  <c r="H31" i="69"/>
  <c r="G31" i="69"/>
  <c r="F31" i="69"/>
  <c r="E31" i="69"/>
  <c r="D31" i="69"/>
  <c r="H35" i="69"/>
  <c r="G35" i="69"/>
  <c r="F35" i="69"/>
  <c r="E35" i="69"/>
  <c r="D35" i="69"/>
  <c r="G34" i="69"/>
  <c r="H34" i="69"/>
  <c r="F34" i="69"/>
  <c r="E34" i="69"/>
  <c r="D34" i="69"/>
  <c r="D32" i="69"/>
  <c r="H33" i="69"/>
  <c r="G33" i="69"/>
  <c r="F33" i="69"/>
  <c r="E33" i="69"/>
  <c r="D33" i="69"/>
  <c r="H32" i="69"/>
  <c r="G32" i="69"/>
  <c r="F32" i="69"/>
  <c r="E32" i="69"/>
  <c r="C35" i="69" l="1"/>
  <c r="C34" i="69"/>
  <c r="C33" i="69"/>
  <c r="C32" i="69"/>
  <c r="C26" i="69" l="1"/>
  <c r="C13" i="69"/>
  <c r="C9" i="69"/>
  <c r="C10" i="69" l="1"/>
  <c r="C7" i="69"/>
  <c r="C12" i="69"/>
  <c r="C28" i="69"/>
  <c r="C29" i="69"/>
  <c r="C19" i="69"/>
  <c r="C22" i="69"/>
  <c r="C14" i="69"/>
  <c r="C27" i="69"/>
  <c r="C16" i="69"/>
  <c r="E36" i="69"/>
  <c r="C24" i="69"/>
  <c r="C15" i="69"/>
  <c r="H36" i="69"/>
  <c r="C8" i="69"/>
  <c r="C17" i="69"/>
  <c r="C20" i="69"/>
  <c r="F36" i="69"/>
  <c r="C5" i="69"/>
  <c r="C25" i="69"/>
  <c r="C31" i="69"/>
  <c r="G36" i="69"/>
  <c r="C21" i="69"/>
  <c r="C6" i="69"/>
  <c r="C11" i="69"/>
  <c r="C18" i="69"/>
  <c r="D36" i="69"/>
  <c r="C36" i="69" l="1"/>
  <c r="M21" i="53"/>
  <c r="J23" i="35" l="1"/>
  <c r="I24" i="35"/>
  <c r="I23"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tc={B8625FCB-4762-4C21-B4A7-307C948A2B28}</author>
    <author>tc={432EDF2F-DDBB-49CD-AD93-AB60040D9B8B}</author>
    <author>tc={343057A0-5CF6-408B-BF81-B8AA7A88ADCF}</author>
    <author>tc={C8C40484-B079-473C-A31D-39D931657FB7}</author>
    <author>tc={17BD7905-EEF4-4659-9771-C5DA08761FBA}</author>
    <author>tc={7ECCD142-35CA-40C7-BF95-3126ACD01779}</author>
    <author>tc={F33ADD90-95D6-42E9-8C2B-6059C5AD6C42}</author>
    <author>tc={AE0C5CFB-D556-4E4B-B2C7-82AE00D8E95B}</author>
    <author>tc={FB1532BE-6F23-4DC1-A280-2B4C94DF138D}</author>
    <author>tc={2558059E-2EF9-4F2B-B2B6-411E39BEE677}</author>
    <author>tc={D4D66E00-0571-4508-9016-E6A3764F5E0B}</author>
    <author>tc={96240B1A-521A-4AE4-82AE-10380F2C2CCB}</author>
    <author>tc={A8242727-8E9A-48B4-A54B-66E0B5C47CDB}</author>
    <author>tc={8C45A121-7CDA-410A-BDC8-7F9163DEB8F3}</author>
    <author>tc={C58C3FFD-AEE7-4C24-B372-3BE93C85D875}</author>
    <author>tc={001EC969-F0AC-4BB4-8C36-95392766EB32}</author>
  </authors>
  <commentList>
    <comment ref="C2" authorId="0" shapeId="0" xr:uid="{B8625FCB-4762-4C21-B4A7-307C948A2B28}">
      <text>
        <t>[Threaded comment]
Your version of Excel allows you to read this threaded comment; however, any edits to it will get removed if the file is opened in a newer version of Excel. Learn more: https://go.microsoft.com/fwlink/?linkid=870924
Comment:
    Enter a Nodename to Create</t>
      </text>
    </comment>
    <comment ref="D2" authorId="1" shapeId="0" xr:uid="{432EDF2F-DDBB-49CD-AD93-AB60040D9B8B}">
      <text>
        <t>[Threaded comment]
Your version of Excel allows you to read this threaded comment; however, any edits to it will get removed if the file is opened in a newer version of Excel. Learn more: https://go.microsoft.com/fwlink/?linkid=870924
Comment:
    Enter Nodetype for Node</t>
      </text>
    </comment>
    <comment ref="E2" authorId="2" shapeId="0" xr:uid="{343057A0-5CF6-408B-BF81-B8AA7A88ADCF}">
      <text>
        <t>[Threaded comment]
Your version of Excel allows you to read this threaded comment; however, any edits to it will get removed if the file is opened in a newer version of Excel. Learn more: https://go.microsoft.com/fwlink/?linkid=870924
Comment:
    Enter IP for Node</t>
      </text>
    </comment>
    <comment ref="F2" authorId="3" shapeId="0" xr:uid="{C8C40484-B079-473C-A31D-39D931657FB7}">
      <text>
        <t>[Threaded comment]
Your version of Excel allows you to read this threaded comment; however, any edits to it will get removed if the file is opened in a newer version of Excel. Learn more: https://go.microsoft.com/fwlink/?linkid=870924
Comment:
    Enter User for Node</t>
      </text>
    </comment>
    <comment ref="G2" authorId="4" shapeId="0" xr:uid="{17BD7905-EEF4-4659-9771-C5DA08761FBA}">
      <text>
        <t>[Threaded comment]
Your version of Excel allows you to read this threaded comment; however, any edits to it will get removed if the file is opened in a newer version of Excel. Learn more: https://go.microsoft.com/fwlink/?linkid=870924
Comment:
    Enter a password for Node</t>
      </text>
    </comment>
    <comment ref="C3" authorId="5" shapeId="0" xr:uid="{7ECCD142-35CA-40C7-BF95-3126ACD01779}">
      <text>
        <t>[Threaded comment]
Your version of Excel allows you to read this threaded comment; however, any edits to it will get removed if the file is opened in a newer version of Excel. Learn more: https://go.microsoft.com/fwlink/?linkid=870924
Comment:
    Enter a Nodename to Create</t>
      </text>
    </comment>
    <comment ref="D3" authorId="6" shapeId="0" xr:uid="{F33ADD90-95D6-42E9-8C2B-6059C5AD6C42}">
      <text>
        <t>[Threaded comment]
Your version of Excel allows you to read this threaded comment; however, any edits to it will get removed if the file is opened in a newer version of Excel. Learn more: https://go.microsoft.com/fwlink/?linkid=870924
Comment:
    Enter Nodetype for Node</t>
      </text>
    </comment>
    <comment ref="E3" authorId="7" shapeId="0" xr:uid="{AE0C5CFB-D556-4E4B-B2C7-82AE00D8E95B}">
      <text>
        <t>[Threaded comment]
Your version of Excel allows you to read this threaded comment; however, any edits to it will get removed if the file is opened in a newer version of Excel. Learn more: https://go.microsoft.com/fwlink/?linkid=870924
Comment:
    Enter IP for Node</t>
      </text>
    </comment>
    <comment ref="F3" authorId="8" shapeId="0" xr:uid="{FB1532BE-6F23-4DC1-A280-2B4C94DF138D}">
      <text>
        <t>[Threaded comment]
Your version of Excel allows you to read this threaded comment; however, any edits to it will get removed if the file is opened in a newer version of Excel. Learn more: https://go.microsoft.com/fwlink/?linkid=870924
Comment:
    Enter User for Node</t>
      </text>
    </comment>
    <comment ref="G3" authorId="9" shapeId="0" xr:uid="{2558059E-2EF9-4F2B-B2B6-411E39BEE677}">
      <text>
        <t>[Threaded comment]
Your version of Excel allows you to read this threaded comment; however, any edits to it will get removed if the file is opened in a newer version of Excel. Learn more: https://go.microsoft.com/fwlink/?linkid=870924
Comment:
    Enter a password for Node</t>
      </text>
    </comment>
    <comment ref="C4" authorId="10" shapeId="0" xr:uid="{D4D66E00-0571-4508-9016-E6A3764F5E0B}">
      <text>
        <t>[Threaded comment]
Your version of Excel allows you to read this threaded comment; however, any edits to it will get removed if the file is opened in a newer version of Excel. Learn more: https://go.microsoft.com/fwlink/?linkid=870924
Comment:
    Enter a Nodename to Create</t>
      </text>
    </comment>
    <comment ref="D4" authorId="11" shapeId="0" xr:uid="{96240B1A-521A-4AE4-82AE-10380F2C2CCB}">
      <text>
        <t>[Threaded comment]
Your version of Excel allows you to read this threaded comment; however, any edits to it will get removed if the file is opened in a newer version of Excel. Learn more: https://go.microsoft.com/fwlink/?linkid=870924
Comment:
    Enter Nodetype for Node</t>
      </text>
    </comment>
    <comment ref="E4" authorId="12" shapeId="0" xr:uid="{A8242727-8E9A-48B4-A54B-66E0B5C47CDB}">
      <text>
        <t>[Threaded comment]
Your version of Excel allows you to read this threaded comment; however, any edits to it will get removed if the file is opened in a newer version of Excel. Learn more: https://go.microsoft.com/fwlink/?linkid=870924
Comment:
    Enter IP for Node</t>
      </text>
    </comment>
    <comment ref="F4" authorId="13" shapeId="0" xr:uid="{8C45A121-7CDA-410A-BDC8-7F9163DEB8F3}">
      <text>
        <t>[Threaded comment]
Your version of Excel allows you to read this threaded comment; however, any edits to it will get removed if the file is opened in a newer version of Excel. Learn more: https://go.microsoft.com/fwlink/?linkid=870924
Comment:
    Enter User for Node</t>
      </text>
    </comment>
    <comment ref="G4" authorId="14" shapeId="0" xr:uid="{C58C3FFD-AEE7-4C24-B372-3BE93C85D875}">
      <text>
        <t>[Threaded comment]
Your version of Excel allows you to read this threaded comment; however, any edits to it will get removed if the file is opened in a newer version of Excel. Learn more: https://go.microsoft.com/fwlink/?linkid=870924
Comment:
    Enter a password for Node</t>
      </text>
    </comment>
    <comment ref="H4" authorId="15" shapeId="0" xr:uid="{001EC969-F0AC-4BB4-8C36-95392766EB32}">
      <text>
        <t>[Threaded comment]
Your version of Excel allows you to read this threaded comment; however, any edits to it will get removed if the file is opened in a newer version of Excel. Learn more: https://go.microsoft.com/fwlink/?linkid=870924
Comment:
    Enter a subnetwork name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tc={D61F5BE0-886C-4BE0-8985-E5F1F7188D1F}</author>
    <author>tc={D9E2DFCC-6F64-42FF-96A5-DEE12CB2CDD3}</author>
    <author>tc={CEBE96E1-A4C6-4C35-84D2-2AB03368001A}</author>
    <author>tc={82FF0AD1-E549-485F-A2C1-B676FE237462}</author>
    <author>tc={41518699-25E9-4B95-89FB-CA9282AA8FC4}</author>
    <author>tc={7BF98F72-8023-4185-884A-2C64634CF4A8}</author>
    <author>tc={797F2C46-50C6-4F9E-9E19-1F36051911D0}</author>
    <author>tc={7BD09EA4-08D5-4C18-A6E9-BA18CCC75C04}</author>
    <author>tc={21212CDD-862E-4A77-8176-5D62C2DF3A65}</author>
    <author>tc={DC3B377C-3F10-4010-9702-86C076DDFDFF}</author>
    <author>tc={18E3C576-1378-43F5-BDFC-88183922D78C}</author>
    <author>tc={9DDE4784-D317-4E76-8B41-08E542E7734D}</author>
    <author>tc={E6131BA1-6781-4597-9EC1-CC879CB51175}</author>
    <author>tc={90859B18-4AD5-47B3-805A-A4D5FFF9991D}</author>
    <author>tc={F9B9114B-25B3-4872-8B70-678C8FE6B5C1}</author>
    <author>tc={BE768638-B145-4E7C-AFDE-C579BA9DF7A5}</author>
    <author>tc={E4D03EF1-709D-47CE-8C94-27D32FDD7D0F}</author>
    <author>tc={30024337-FF8F-45CD-9FBE-FB3A37BFE218}</author>
    <author>tc={322D6685-B5CC-4C7F-8651-2A14FE97E42D}</author>
    <author>tc={97BF2732-E4B8-48AA-A7BA-729D8AD06C75}</author>
    <author>tc={38959DB5-69E0-4092-AA79-3F7444252791}</author>
    <author>tc={70242651-2B85-406E-A7DB-B6147F151471}</author>
    <author>tc={570AA083-403D-4C79-8CFE-C52CF386BB95}</author>
    <author>tc={8F608CAA-FC92-4739-BE11-2BCCAD2434BB}</author>
    <author>Sudipta Nandy</author>
    <author>tc={520B03E1-8058-4E2E-B56A-75715D118373}</author>
    <author>tc={4E47E8AF-D94B-4965-B45F-1E2B8CB64864}</author>
    <author>tc={2BC1BC87-166D-4220-A5C3-B048C81F85C4}</author>
    <author>tc={2D82B178-EAB0-4DDE-A4FF-2FFAE59CE069}</author>
    <author>tc={E4933E25-2E66-4F09-971F-17BF6D956B6C}</author>
  </authors>
  <commentList>
    <comment ref="C2" authorId="0" shapeId="0" xr:uid="{D61F5BE0-886C-4BE0-8985-E5F1F7188D1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 authorId="1" shapeId="0" xr:uid="{D9E2DFCC-6F64-42FF-96A5-DEE12CB2CDD3}">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4" authorId="2" shapeId="0" xr:uid="{CEBE96E1-A4C6-4C35-84D2-2AB03368001A}">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5" authorId="3" shapeId="0" xr:uid="{82FF0AD1-E549-485F-A2C1-B676FE237462}">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6" authorId="4" shapeId="0" xr:uid="{41518699-25E9-4B95-89FB-CA9282AA8FC4}">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D6" authorId="5" shapeId="0" xr:uid="{7BF98F72-8023-4185-884A-2C64634CF4A8}">
      <text>
        <t>[Threaded comment]
Your version of Excel allows you to read this threaded comment; however, any edits to it will get removed if the file is opened in a newer version of Excel. Learn more: https://go.microsoft.com/fwlink/?linkid=870924
Comment:
    Enter a Jobname for creating a Backup JOB</t>
      </text>
    </comment>
    <comment ref="D7" authorId="6" shapeId="0" xr:uid="{797F2C46-50C6-4F9E-9E19-1F36051911D0}">
      <text>
        <t>[Threaded comment]
Your version of Excel allows you to read this threaded comment; however, any edits to it will get removed if the file is opened in a newer version of Excel. Learn more: https://go.microsoft.com/fwlink/?linkid=870924
Comment:
    Enter a Jobname for creating a Backup JOB</t>
      </text>
    </comment>
    <comment ref="E7" authorId="7" shapeId="0" xr:uid="{7BD09EA4-08D5-4C18-A6E9-BA18CCC75C04}">
      <text>
        <t>[Threaded comment]
Your version of Excel allows you to read this threaded comment; however, any edits to it will get removed if the file is opened in a newer version of Excel. Learn more: https://go.microsoft.com/fwlink/?linkid=870924
Comment:
    Enter new Jobname</t>
      </text>
    </comment>
    <comment ref="C8" authorId="8" shapeId="0" xr:uid="{21212CDD-862E-4A77-8176-5D62C2DF3A6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9" authorId="9" shapeId="0" xr:uid="{DC3B377C-3F10-4010-9702-86C076DDFDF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0" authorId="10" shapeId="0" xr:uid="{18E3C576-1378-43F5-BDFC-88183922D78C}">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1" authorId="11" shapeId="0" xr:uid="{9DDE4784-D317-4E76-8B41-08E542E7734D}">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2" authorId="12" shapeId="0" xr:uid="{E6131BA1-6781-4597-9EC1-CC879CB5117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D12" authorId="13" shapeId="0" xr:uid="{90859B18-4AD5-47B3-805A-A4D5FFF9991D}">
      <text>
        <t>[Threaded comment]
Your version of Excel allows you to read this threaded comment; however, any edits to it will get removed if the file is opened in a newer version of Excel. Learn more: https://go.microsoft.com/fwlink/?linkid=870924
Comment:
    Enter a Jobname to restore backup</t>
      </text>
    </comment>
    <comment ref="C13" authorId="14" shapeId="0" xr:uid="{F9B9114B-25B3-4872-8B70-678C8FE6B5C1}">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D13" authorId="15" shapeId="0" xr:uid="{BE768638-B145-4E7C-AFDE-C579BA9DF7A5}">
      <text>
        <t>[Threaded comment]
Your version of Excel allows you to read this threaded comment; however, any edits to it will get removed if the file is opened in a newer version of Excel. Learn more: https://go.microsoft.com/fwlink/?linkid=870924
Comment:
    Enter the Jobname same as in rowno-6</t>
      </text>
    </comment>
    <comment ref="C14" authorId="16" shapeId="0" xr:uid="{E4D03EF1-709D-47CE-8C94-27D32FDD7D0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5" authorId="17" shapeId="0" xr:uid="{30024337-FF8F-45CD-9FBE-FB3A37BFE218}">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D15" authorId="18" shapeId="0" xr:uid="{322D6685-B5CC-4C7F-8651-2A14FE97E42D}">
      <text>
        <t>[Threaded comment]
Your version of Excel allows you to read this threaded comment; however, any edits to it will get removed if the file is opened in a newer version of Excel. Learn more: https://go.microsoft.com/fwlink/?linkid=870924
Comment:
    Enter a Jobname for Housekeeping of Backup of a Node</t>
      </text>
    </comment>
    <comment ref="C17" authorId="19" shapeId="0" xr:uid="{97BF2732-E4B8-48AA-A7BA-729D8AD06C7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8" authorId="20" shapeId="0" xr:uid="{38959DB5-69E0-4092-AA79-3F7444252791}">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9" authorId="21" shapeId="0" xr:uid="{70242651-2B85-406E-A7DB-B6147F151471}">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0" authorId="22" shapeId="0" xr:uid="{570AA083-403D-4C79-8CFE-C52CF386BB9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3" authorId="23" shapeId="0" xr:uid="{8F608CAA-FC92-4739-BE11-2BCCAD2434BB}">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I23" authorId="24" shapeId="0" xr:uid="{517DD845-4141-4318-869D-E36C142A11D4}">
      <text>
        <r>
          <rPr>
            <b/>
            <sz val="9"/>
            <color indexed="81"/>
            <rFont val="Tahoma"/>
            <family val="2"/>
          </rPr>
          <t>Sudipta Nandy:</t>
        </r>
        <r>
          <rPr>
            <sz val="9"/>
            <color indexed="81"/>
            <rFont val="Tahoma"/>
            <family val="2"/>
          </rPr>
          <t xml:space="preserve">
Immediate/schedule/periodic - describes the type of backup job you want to create.</t>
        </r>
      </text>
    </comment>
    <comment ref="I24" authorId="24" shapeId="0" xr:uid="{4BF4B3DF-CB27-4889-B67C-EEEFF1BDD76D}">
      <text>
        <r>
          <rPr>
            <b/>
            <sz val="9"/>
            <color indexed="81"/>
            <rFont val="Tahoma"/>
            <family val="2"/>
          </rPr>
          <t>Sudipta Nandy:</t>
        </r>
        <r>
          <rPr>
            <sz val="9"/>
            <color indexed="81"/>
            <rFont val="Tahoma"/>
            <family val="2"/>
          </rPr>
          <t xml:space="preserve">
Immediate/schedule/periodic - describes the type of backup job you want to create.</t>
        </r>
      </text>
    </comment>
    <comment ref="J26" authorId="25" shapeId="0" xr:uid="{520B03E1-8058-4E2E-B56A-75715D118373}">
      <text>
        <t>[Threaded comment]
Your version of Excel allows you to read this threaded comment; however, any edits to it will get removed if the file is opened in a newer version of Excel. Learn more: https://go.microsoft.com/fwlink/?linkid=870924
Comment:
    Please add file name with extension here</t>
      </text>
    </comment>
    <comment ref="F31" authorId="26" shapeId="0" xr:uid="{4E47E8AF-D94B-4965-B45F-1E2B8CB64864}">
      <text>
        <t>[Threaded comment]
Your version of Excel allows you to read this threaded comment; however, any edits to it will get removed if the file is opened in a newer version of Excel. Learn more: https://go.microsoft.com/fwlink/?linkid=870924
Comment:
    Mention Script Path For where config.py is present.while reading and update backup job timings.</t>
      </text>
    </comment>
    <comment ref="C32" authorId="27" shapeId="0" xr:uid="{2BC1BC87-166D-4220-A5C3-B048C81F85C4}">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3" authorId="28" shapeId="0" xr:uid="{2D82B178-EAB0-4DDE-A4FF-2FFAE59CE069}">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4" authorId="29" shapeId="0" xr:uid="{E4933E25-2E66-4F09-971F-17BF6D956B6C}">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tc={22ABB305-4B4F-4D1B-B08F-1214FEC10A47}</author>
    <author>tc={8A37B3B4-E7F5-427E-85F5-730B9E831619}</author>
    <author>tc={3E8121D9-6FBF-4B2E-BD7D-DBE6DB3DDF07}</author>
    <author>tc={B360FF85-1C57-4DCB-83FC-0472CD02F6C7}</author>
    <author>tc={45EEB961-E98C-4D25-8469-7A743BFD1C98}</author>
    <author>tc={AE0F0A14-DC9F-48CC-A960-1E1C522B3965}</author>
    <author>tc={BBAF2E7D-AC64-48EE-BCE5-FD6890912E60}</author>
    <author>tc={38363061-A51F-484F-8C78-21B81BBA2BE5}</author>
    <author>tc={E485469D-16EF-406E-A576-8F495476D6FA}</author>
    <author>tc={7AADC839-3268-445D-9156-C05D27DF6D73}</author>
    <author>tc={2399E619-9ABD-49C2-A704-0370217728CA}</author>
  </authors>
  <commentList>
    <comment ref="C2" authorId="0" shapeId="0" xr:uid="{22ABB305-4B4F-4D1B-B08F-1214FEC10A47}">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E2" authorId="1" shapeId="0" xr:uid="{8A37B3B4-E7F5-427E-85F5-730B9E831619}">
      <text>
        <t>[Threaded comment]
Your version of Excel allows you to read this threaded comment; however, any edits to it will get removed if the file is opened in a newer version of Excel. Learn more: https://go.microsoft.com/fwlink/?linkid=870924
Comment:
    Enter any Userlevel name</t>
      </text>
    </comment>
    <comment ref="C3" authorId="2" shapeId="0" xr:uid="{3E8121D9-6FBF-4B2E-BD7D-DBE6DB3DDF07}">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G5" authorId="3" shapeId="0" xr:uid="{B360FF85-1C57-4DCB-83FC-0472CD02F6C7}">
      <text>
        <t>[Threaded comment]
Your version of Excel allows you to read this threaded comment; however, any edits to it will get removed if the file is opened in a newer version of Excel. Learn more: https://go.microsoft.com/fwlink/?linkid=870924
Comment:
    lms host ip should be provided here</t>
      </text>
    </comment>
    <comment ref="J5" authorId="4" shapeId="0" xr:uid="{45EEB961-E98C-4D25-8469-7A743BFD1C98}">
      <text>
        <t>[Threaded comment]
Your version of Excel allows you to read this threaded comment; however, any edits to it will get removed if the file is opened in a newer version of Excel. Learn more: https://go.microsoft.com/fwlink/?linkid=870924
Comment:
    Download this CERT from ENM.CERT file should be placed in lms root directory by user before starting test. Cert file name must be provided in this box.</t>
      </text>
    </comment>
    <comment ref="K5" authorId="5" shapeId="0" xr:uid="{AE0F0A14-DC9F-48CC-A960-1E1C522B3965}">
      <text>
        <t>[Threaded comment]
Your version of Excel allows you to read this threaded comment; however, any edits to it will get removed if the file is opened in a newer version of Excel. Learn more: https://go.microsoft.com/fwlink/?linkid=870924
Comment:
    User must create a file containing userid and password of user with appropriate role in following format - IDToken1=&lt;username&gt;&amp;IDToken2=&lt;Password&gt; .Then place the file in lms root directory by user before starting test.same file name should be input here.</t>
      </text>
    </comment>
    <comment ref="L5" authorId="6" shapeId="0" xr:uid="{BBAF2E7D-AC64-48EE-BCE5-FD6890912E60}">
      <text>
        <t>[Threaded comment]
Your version of Excel allows you to read this threaded comment; however, any edits to it will get removed if the file is opened in a newer version of Excel. Learn more: https://go.microsoft.com/fwlink/?linkid=870924
Comment:
    Input import File name.This file must be provided by customer and kept inside lms root folder before starting test.Impact of this file import on network must be understood by customer.</t>
      </text>
    </comment>
    <comment ref="N5" authorId="7" shapeId="0" xr:uid="{38363061-A51F-484F-8C78-21B81BBA2BE5}">
      <text>
        <t>[Threaded comment]
Your version of Excel allows you to read this threaded comment; however, any edits to it will get removed if the file is opened in a newer version of Excel. Learn more: https://go.microsoft.com/fwlink/?linkid=870924
Comment:
    Please enter fdn of MO to be modified by import file .</t>
      </text>
    </comment>
    <comment ref="L6" authorId="8" shapeId="0" xr:uid="{E485469D-16EF-406E-A576-8F495476D6FA}">
      <text>
        <t>[Threaded comment]
Your version of Excel allows you to read this threaded comment; however, any edits to it will get removed if the file is opened in a newer version of Excel. Learn more: https://go.microsoft.com/fwlink/?linkid=870924
Comment:
    Input import file name.This file must be kept inside Automation folder before starting test.This is just a sample file,in case of actual use,customer must provide this and understand the impact on network.</t>
      </text>
    </comment>
    <comment ref="N6" authorId="9" shapeId="0" xr:uid="{7AADC839-3268-445D-9156-C05D27DF6D73}">
      <text>
        <t>[Threaded comment]
Your version of Excel allows you to read this threaded comment; however, any edits to it will get removed if the file is opened in a newer version of Excel. Learn more: https://go.microsoft.com/fwlink/?linkid=870924
Comment:
    Please enter fdn of MO to be modified by import file .</t>
      </text>
    </comment>
    <comment ref="L7" authorId="10" shapeId="0" xr:uid="{2399E619-9ABD-49C2-A704-0370217728CA}">
      <text>
        <t>[Threaded comment]
Your version of Excel allows you to read this threaded comment; however, any edits to it will get removed if the file is opened in a newer version of Excel. Learn more: https://go.microsoft.com/fwlink/?linkid=870924
Comment:
    Input a filename with userdefined filter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tc={E20529F9-7E9C-462A-B2AE-76B1734E3D3A}</author>
    <author>tc={F6C9DD82-92F9-4DAB-B728-FFC15279EF1B}</author>
    <author>tc={7C961EEB-11B0-43A8-8316-11963D86352A}</author>
    <author>tc={5213B061-536B-4DCF-97BA-6733C37A709E}</author>
    <author>tc={D3199A0B-E9A9-4F1B-99E7-2F7DFC0E4A9A}</author>
    <author>tc={F83CCFFA-76C9-492E-BB42-FBA85847F426}</author>
    <author>tc={7E70CB49-FE6A-4B5A-AF4C-6A94B6B901CB}</author>
    <author>tc={A91F4328-5A22-44F8-833A-1C98A02F4BDD}</author>
    <author>tc={472E197C-1470-4DA4-BB29-9F94DBA2F750}</author>
    <author>tc={7460A16F-0EFA-4A38-A12E-F09D3DA17E2F}</author>
    <author>tc={F712C6F9-19B9-40BD-BBDD-A8384FD3EBAD}</author>
    <author>tc={B0A33CD6-1318-402B-92CD-AD57DB29B2D1}</author>
    <author>tc={CF1D3515-2909-42CE-9BFF-EE29EFF8CFD3}</author>
    <author>tc={6C3F7ACD-F118-4EDB-A499-86BCCBF63724}</author>
    <author>tc={FD557346-1DCB-4396-984D-AEE7C5B72184}</author>
    <author>tc={20331EE9-802F-4CDA-B500-D0588B2C42D7}</author>
    <author>tc={5441D401-BBF9-4EA7-BB7B-2B2DBABBC238}</author>
    <author>tc={244BA0A6-46C7-4F5E-AA24-15CC9ECBA2B3}</author>
    <author>tc={2037FB78-8839-4E72-90AA-1F96DB67CAAA}</author>
    <author>tc={B8F3349C-8A33-4C95-9D98-892165392441}</author>
    <author>tc={06ABE92E-280C-4B43-94EE-A2EA5F99E371}</author>
    <author>tc={833A78BD-DBAC-4E8A-A480-ED629D9C32EF}</author>
  </authors>
  <commentList>
    <comment ref="C2" authorId="0" shapeId="0" xr:uid="{E20529F9-7E9C-462A-B2AE-76B1734E3D3A}">
      <text>
        <t>[Threaded comment]
Your version of Excel allows you to read this threaded comment; however, any edits to it will get removed if the file is opened in a newer version of Excel. Learn more: https://go.microsoft.com/fwlink/?linkid=870924
Comment:
    Enter LMS Ip</t>
      </text>
    </comment>
    <comment ref="D2" authorId="1" shapeId="0" xr:uid="{F6C9DD82-92F9-4DAB-B728-FFC15279EF1B}">
      <text>
        <t>[Threaded comment]
Your version of Excel allows you to read this threaded comment; however, any edits to it will get removed if the file is opened in a newer version of Excel. Learn more: https://go.microsoft.com/fwlink/?linkid=870924
Comment:
    Enter root user of LMS IP</t>
      </text>
    </comment>
    <comment ref="E2" authorId="2" shapeId="0" xr:uid="{7C961EEB-11B0-43A8-8316-11963D86352A}">
      <text>
        <t>[Threaded comment]
Your version of Excel allows you to read this threaded comment; however, any edits to it will get removed if the file is opened in a newer version of Excel. Learn more: https://go.microsoft.com/fwlink/?linkid=870924
Comment:
    Enter Root Password for lms ip</t>
      </text>
    </comment>
    <comment ref="F2" authorId="3" shapeId="0" xr:uid="{5213B061-536B-4DCF-97BA-6733C37A709E}">
      <text>
        <t>[Threaded comment]
Your version of Excel allows you to read this threaded comment; however, any edits to it will get removed if the file is opened in a newer version of Excel. Learn more: https://go.microsoft.com/fwlink/?linkid=870924
Comment:
    Put Admin Username For ENM Url</t>
      </text>
    </comment>
    <comment ref="G2" authorId="4" shapeId="0" xr:uid="{D3199A0B-E9A9-4F1B-99E7-2F7DFC0E4A9A}">
      <text>
        <t>[Threaded comment]
Your version of Excel allows you to read this threaded comment; however, any edits to it will get removed if the file is opened in a newer version of Excel. Learn more: https://go.microsoft.com/fwlink/?linkid=870924
Comment:
    Put Admin User Password for ENM url</t>
      </text>
    </comment>
    <comment ref="H2" authorId="5" shapeId="0" xr:uid="{F83CCFFA-76C9-492E-BB42-FBA85847F426}">
      <text>
        <t>[Threaded comment]
Your version of Excel allows you to read this threaded comment; however, any edits to it will get removed if the file is opened in a newer version of Excel. Learn more: https://go.microsoft.com/fwlink/?linkid=870924
Comment:
    Enter Client Machine(e.g-scp server) Host Name</t>
      </text>
    </comment>
    <comment ref="I2" authorId="6" shapeId="0" xr:uid="{7E70CB49-FE6A-4B5A-AF4C-6A94B6B901CB}">
      <text>
        <t>[Threaded comment]
Your version of Excel allows you to read this threaded comment; however, any edits to it will get removed if the file is opened in a newer version of Excel. Learn more: https://go.microsoft.com/fwlink/?linkid=870924
Comment:
    Enter Client Machine(e.g-scp server) User Name</t>
      </text>
    </comment>
    <comment ref="J2" authorId="7" shapeId="0" xr:uid="{A91F4328-5A22-44F8-833A-1C98A02F4BDD}">
      <text>
        <t>[Threaded comment]
Your version of Excel allows you to read this threaded comment; however, any edits to it will get removed if the file is opened in a newer version of Excel. Learn more: https://go.microsoft.com/fwlink/?linkid=870924
Comment:
    Enter Client Machine(e.g-scp server) User Password</t>
      </text>
    </comment>
    <comment ref="C3" authorId="8" shapeId="0" xr:uid="{472E197C-1470-4DA4-BB29-9F94DBA2F750}">
      <text>
        <t>[Threaded comment]
Your version of Excel allows you to read this threaded comment; however, any edits to it will get removed if the file is opened in a newer version of Excel. Learn more: https://go.microsoft.com/fwlink/?linkid=870924
Comment:
    Enter LMS Ip</t>
      </text>
    </comment>
    <comment ref="D3" authorId="9" shapeId="0" xr:uid="{7460A16F-0EFA-4A38-A12E-F09D3DA17E2F}">
      <text>
        <t>[Threaded comment]
Your version of Excel allows you to read this threaded comment; however, any edits to it will get removed if the file is opened in a newer version of Excel. Learn more: https://go.microsoft.com/fwlink/?linkid=870924
Comment:
    Enter root user of LMS IP</t>
      </text>
    </comment>
    <comment ref="E3" authorId="10" shapeId="0" xr:uid="{F712C6F9-19B9-40BD-BBDD-A8384FD3EBAD}">
      <text>
        <t>[Threaded comment]
Your version of Excel allows you to read this threaded comment; however, any edits to it will get removed if the file is opened in a newer version of Excel. Learn more: https://go.microsoft.com/fwlink/?linkid=870924
Comment:
    Enter Root Password for lms ip</t>
      </text>
    </comment>
    <comment ref="H3" authorId="11" shapeId="0" xr:uid="{B0A33CD6-1318-402B-92CD-AD57DB29B2D1}">
      <text>
        <t>[Threaded comment]
Your version of Excel allows you to read this threaded comment; however, any edits to it will get removed if the file is opened in a newer version of Excel. Learn more: https://go.microsoft.com/fwlink/?linkid=870924
Comment:
    Enter Client Machine(e.g-scp server) User Name.Modules will get installed in this machine.</t>
      </text>
    </comment>
    <comment ref="I3" authorId="12" shapeId="0" xr:uid="{CF1D3515-2909-42CE-9BFF-EE29EFF8CFD3}">
      <text>
        <t>[Threaded comment]
Your version of Excel allows you to read this threaded comment; however, any edits to it will get removed if the file is opened in a newer version of Excel. Learn more: https://go.microsoft.com/fwlink/?linkid=870924
Comment:
    Enter Client Machine(e.g-scp server)  Password.</t>
      </text>
    </comment>
    <comment ref="J3" authorId="13" shapeId="0" xr:uid="{6C3F7ACD-F118-4EDB-A499-86BCCBF63724}">
      <text>
        <t>[Threaded comment]
Your version of Excel allows you to read this threaded comment; however, any edits to it will get removed if the file is opened in a newer version of Excel. Learn more: https://go.microsoft.com/fwlink/?linkid=870924
Comment:
    Enter Client Machine(e.g-scp server) Host Name or IP.</t>
      </text>
    </comment>
    <comment ref="C4" authorId="14" shapeId="0" xr:uid="{FD557346-1DCB-4396-984D-AEE7C5B72184}">
      <text>
        <t>[Threaded comment]
Your version of Excel allows you to read this threaded comment; however, any edits to it will get removed if the file is opened in a newer version of Excel. Learn more: https://go.microsoft.com/fwlink/?linkid=870924
Comment:
    Enter LMS Ip</t>
      </text>
    </comment>
    <comment ref="D4" authorId="15" shapeId="0" xr:uid="{20331EE9-802F-4CDA-B500-D0588B2C42D7}">
      <text>
        <t>[Threaded comment]
Your version of Excel allows you to read this threaded comment; however, any edits to it will get removed if the file is opened in a newer version of Excel. Learn more: https://go.microsoft.com/fwlink/?linkid=870924
Comment:
    Enter root user of LMS IP</t>
      </text>
    </comment>
    <comment ref="E4" authorId="16" shapeId="0" xr:uid="{5441D401-BBF9-4EA7-BB7B-2B2DBABBC238}">
      <text>
        <t>[Threaded comment]
Your version of Excel allows you to read this threaded comment; however, any edits to it will get removed if the file is opened in a newer version of Excel. Learn more: https://go.microsoft.com/fwlink/?linkid=870924
Comment:
    Enter Root Password for lms ip</t>
      </text>
    </comment>
    <comment ref="H4" authorId="17" shapeId="0" xr:uid="{244BA0A6-46C7-4F5E-AA24-15CC9ECBA2B3}">
      <text>
        <t>[Threaded comment]
Your version of Excel allows you to read this threaded comment; however, any edits to it will get removed if the file is opened in a newer version of Excel. Learn more: https://go.microsoft.com/fwlink/?linkid=870924
Comment:
    Enter Client Machine(e.g-scp server) Host Name</t>
      </text>
    </comment>
    <comment ref="I4" authorId="18" shapeId="0" xr:uid="{2037FB78-8839-4E72-90AA-1F96DB67CAAA}">
      <text>
        <t>[Threaded comment]
Your version of Excel allows you to read this threaded comment; however, any edits to it will get removed if the file is opened in a newer version of Excel. Learn more: https://go.microsoft.com/fwlink/?linkid=870924
Comment:
    Enter Client Machine(e.g-scp server) User Name</t>
      </text>
    </comment>
    <comment ref="J4" authorId="19" shapeId="0" xr:uid="{B8F3349C-8A33-4C95-9D98-892165392441}">
      <text>
        <t>[Threaded comment]
Your version of Excel allows you to read this threaded comment; however, any edits to it will get removed if the file is opened in a newer version of Excel. Learn more: https://go.microsoft.com/fwlink/?linkid=870924
Comment:
    Enter Client Machine(e.g-scp server) User Password</t>
      </text>
    </comment>
    <comment ref="K4" authorId="20" shapeId="0" xr:uid="{06ABE92E-280C-4B43-94EE-A2EA5F99E371}">
      <text>
        <t>[Threaded comment]
Your version of Excel allows you to read this threaded comment; however, any edits to it will get removed if the file is opened in a newer version of Excel. Learn more: https://go.microsoft.com/fwlink/?linkid=870924
Comment:
    Input CA Cert file name.This file should be downloaded from ENM GUI and Put it in Client Server -in /home/client_username.
Example : if you are using Administrator then transfer the .pem file in /home/administrator</t>
      </text>
    </comment>
    <comment ref="L4" authorId="21" shapeId="0" xr:uid="{833A78BD-DBAC-4E8A-A480-ED629D9C32EF}">
      <text>
        <t>[Threaded comment]
Your version of Excel allows you to read this threaded comment; however, any edits to it will get removed if the file is opened in a newer version of Excel. Learn more: https://go.microsoft.com/fwlink/?linkid=870924
Comment:
    User must create a file containing userid and password of user with appropriate role in following format - IDToken1=&lt;username&gt;&amp;IDToken2=&lt;Password&gt; .Then place the file in Client_Host  /home/client_username directory by user before starting test.same file name should be input here. 
Example : if you are using Administrator , then transfer file to /home/administrator.</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tc={EC1F9582-AD39-41F6-9E5D-EFE4A691E44F}</author>
    <author>tc={7A42A95F-159A-4B43-9341-8FEE529F4E5E}</author>
    <author>tc={8A4DCFAA-8C14-4839-9687-BE7C57EAE11F}</author>
    <author>tc={C88015DE-61C0-4DDE-ADD2-BC03C194F698}</author>
    <author>tc={0A825141-3413-4C65-830A-9C54C36A777C}</author>
    <author>tc={4F7FC747-6D24-4F51-B235-00B2AEC47596}</author>
    <author>tc={668678AA-9488-4F53-B315-707C491B399C}</author>
    <author>tc={3C356D40-18AD-438F-8E70-392E2C792B7F}</author>
    <author>tc={F6402BDD-8EB7-4A10-B51A-FB89695C00E1}</author>
    <author>tc={65C78292-FDCC-4C44-A938-0AE87DAC57E7}</author>
    <author>tc={B036CD2B-B3C5-482F-A387-244547A167AB}</author>
    <author>tc={27CAC524-6AB6-4A66-BC5B-AD9EB871BB25}</author>
    <author>tc={40251069-B82E-40A6-8134-F5E89BE02E00}</author>
    <author>tc={E9E75189-A08D-4ACC-9EB7-149D29F7361D}</author>
    <author>tc={ED0D8C67-55B2-43F0-9ED3-F236AB79FB4E}</author>
    <author>tc={D2AB1EEA-5A8A-46CC-978E-6CC4C1D4FDE9}</author>
    <author>tc={0B622112-961D-4736-B682-6F08CD6D8536}</author>
    <author>tc={3A3D32DC-FD70-4585-8CD6-E0A5DE5AB4C5}</author>
    <author>tc={347437F2-E7B9-43DA-839D-4E0CDBD473A9}</author>
    <author>tc={5EC1E455-E910-4E02-9D18-F00A25B90300}</author>
    <author>tc={275C16A5-21FE-4A63-A858-C13CBA77FF1F}</author>
    <author>tc={1BD04288-EF39-4B7E-8E67-FFEE174F41BC}</author>
    <author>tc={3D878DAC-47C2-4454-ABC7-AE2807A40EDC}</author>
    <author>tc={351DB36E-E118-48FB-9468-A9ED6B0DC0D2}</author>
    <author>tc={30DDCF41-314B-4841-A84E-6400E906055E}</author>
    <author>tc={B4FD29EB-DB5B-4395-A0A5-243AA1AAD880}</author>
    <author>tc={794A0464-F09C-415D-B86E-5D393DA2D71A}</author>
    <author>tc={317D8CFC-C4AC-489C-98EB-267CA423D1B7}</author>
    <author>tc={D9D8896C-543A-48BB-AAD5-ECC6537F55F2}</author>
    <author>tc={8130987A-E934-4EE3-AD21-56279ACC2D2F}</author>
    <author>tc={C63BEBCA-760B-4E19-BE57-4929645500E1}</author>
    <author>tc={4C5B6255-828A-4124-A3DD-2109093957FA}</author>
    <author>tc={F6DCC316-0C2D-48F0-A3CC-9B8013986AA8}</author>
    <author>tc={0083E055-E7EA-4D84-8116-4BBD142B2824}</author>
    <author>tc={14C32693-0BC0-4D01-B9AC-6007AFFDDA0F}</author>
    <author>tc={DCB9A0C6-2C7E-4BEA-9B0C-4CDF54E25480}</author>
  </authors>
  <commentList>
    <comment ref="H2" authorId="0" shapeId="0" xr:uid="{EC1F9582-AD39-41F6-9E5D-EFE4A691E44F}">
      <text>
        <t>[Threaded comment]
Your version of Excel allows you to read this threaded comment; however, any edits to it will get removed if the file is opened in a newer version of Excel. Learn more: https://go.microsoft.com/fwlink/?linkid=870924
Comment:
    Input CA Cert file name</t>
      </text>
    </comment>
    <comment ref="I2" authorId="1" shapeId="0" xr:uid="{7A42A95F-159A-4B43-9341-8FEE529F4E5E}">
      <text>
        <t>[Threaded comment]
Your version of Excel allows you to read this threaded comment; however, any edits to it will get removed if the file is opened in a newer version of Excel. Learn more: https://go.microsoft.com/fwlink/?linkid=870924
Comment:
    User must create a file containing userid and password of user with appropriate role in following format - IDToken1=&lt;username&gt;&amp;IDToken2=&lt;Password&gt; .Then place the file in lms root directory by user before starting test.same file name should be input here.</t>
      </text>
    </comment>
    <comment ref="J2" authorId="2" shapeId="0" xr:uid="{8A4DCFAA-8C14-4839-9687-BE7C57EAE11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K2" authorId="3" shapeId="0" xr:uid="{C88015DE-61C0-4DDE-ADD2-BC03C194F698}">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H3" authorId="4" shapeId="0" xr:uid="{0A825141-3413-4C65-830A-9C54C36A777C}">
      <text>
        <t>[Threaded comment]
Your version of Excel allows you to read this threaded comment; however, any edits to it will get removed if the file is opened in a newer version of Excel. Learn more: https://go.microsoft.com/fwlink/?linkid=870924
Comment:
    Input CA Cert file name</t>
      </text>
    </comment>
    <comment ref="I3" authorId="5" shapeId="0" xr:uid="{4F7FC747-6D24-4F51-B235-00B2AEC47596}">
      <text>
        <t>[Threaded comment]
Your version of Excel allows you to read this threaded comment; however, any edits to it will get removed if the file is opened in a newer version of Excel. Learn more: https://go.microsoft.com/fwlink/?linkid=870924
Comment:
    User must create a file containing userid and password of user with appropriate role in following format - IDToken1=&lt;username&gt;&amp;IDToken2=&lt;Password&gt; .Then place the file in lms root directory by user before starting test.same file name should be input here.</t>
      </text>
    </comment>
    <comment ref="J3" authorId="6" shapeId="0" xr:uid="{668678AA-9488-4F53-B315-707C491B399C}">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K3" authorId="7" shapeId="0" xr:uid="{3C356D40-18AD-438F-8E70-392E2C792B7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4" authorId="8" shapeId="0" xr:uid="{F6402BDD-8EB7-4A10-B51A-FB89695C00E1}">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H4" authorId="9" shapeId="0" xr:uid="{65C78292-FDCC-4C44-A938-0AE87DAC57E7}">
      <text>
        <t>[Threaded comment]
Your version of Excel allows you to read this threaded comment; however, any edits to it will get removed if the file is opened in a newer version of Excel. Learn more: https://go.microsoft.com/fwlink/?linkid=870924
Comment:
    Input CA Cert file name</t>
      </text>
    </comment>
    <comment ref="I4" authorId="10" shapeId="0" xr:uid="{B036CD2B-B3C5-482F-A387-244547A167AB}">
      <text>
        <t>[Threaded comment]
Your version of Excel allows you to read this threaded comment; however, any edits to it will get removed if the file is opened in a newer version of Excel. Learn more: https://go.microsoft.com/fwlink/?linkid=870924
Comment:
    User must create a file containing userid and password of user with appropriate role in following format - IDToken1=&lt;username&gt;&amp;IDToken2=&lt;Password&gt; .Then place the file in lms root directory by user before starting test.same file name should be input here.</t>
      </text>
    </comment>
    <comment ref="J4" authorId="11" shapeId="0" xr:uid="{27CAC524-6AB6-4A66-BC5B-AD9EB871BB2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H5" authorId="12" shapeId="0" xr:uid="{40251069-B82E-40A6-8134-F5E89BE02E00}">
      <text>
        <t>[Threaded comment]
Your version of Excel allows you to read this threaded comment; however, any edits to it will get removed if the file is opened in a newer version of Excel. Learn more: https://go.microsoft.com/fwlink/?linkid=870924
Comment:
    Download this CERT from ENM.CERT file should be placed in lms root directory by user before starting test. Cert file name must be provided in this box.</t>
      </text>
    </comment>
    <comment ref="I5" authorId="13" shapeId="0" xr:uid="{E9E75189-A08D-4ACC-9EB7-149D29F7361D}">
      <text>
        <t>[Threaded comment]
Your version of Excel allows you to read this threaded comment; however, any edits to it will get removed if the file is opened in a newer version of Excel. Learn more: https://go.microsoft.com/fwlink/?linkid=870924
Comment:
    User must create a file containing userid and password of user with appropriate role in following format - IDToken1=&lt;username&gt;&amp;IDToken2=&lt;Password&gt; .Then place the file in lms root directory by user before starting test.same file name should be input here.</t>
      </text>
    </comment>
    <comment ref="J5" authorId="14" shapeId="0" xr:uid="{ED0D8C67-55B2-43F0-9ED3-F236AB79FB4E}">
      <text>
        <t>[Threaded comment]
Your version of Excel allows you to read this threaded comment; however, any edits to it will get removed if the file is opened in a newer version of Excel. Learn more: https://go.microsoft.com/fwlink/?linkid=870924
Comment:
    Input JSON File name specific to filter,file should present in root directory of host prior to running testcases.</t>
      </text>
    </comment>
    <comment ref="K5" authorId="15" shapeId="0" xr:uid="{D2AB1EEA-5A8A-46CC-978E-6CC4C1D4FDE9}">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H6" authorId="16" shapeId="0" xr:uid="{0B622112-961D-4736-B682-6F08CD6D8536}">
      <text>
        <t>[Threaded comment]
Your version of Excel allows you to read this threaded comment; however, any edits to it will get removed if the file is opened in a newer version of Excel. Learn more: https://go.microsoft.com/fwlink/?linkid=870924
Comment:
    Download this CERT from ENM.CERT file should be placed in lms root directory by user before starting test. Cert file name must be provided in this box.</t>
      </text>
    </comment>
    <comment ref="I6" authorId="17" shapeId="0" xr:uid="{3A3D32DC-FD70-4585-8CD6-E0A5DE5AB4C5}">
      <text>
        <t>[Threaded comment]
Your version of Excel allows you to read this threaded comment; however, any edits to it will get removed if the file is opened in a newer version of Excel. Learn more: https://go.microsoft.com/fwlink/?linkid=870924
Comment:
    User must create a file containing userid and password of user with appropriate role in following format - IDToken1=&lt;username&gt;&amp;IDToken2=&lt;Password&gt; .Then place the file in lms root directory by user before starting test.same file name should be input here.</t>
      </text>
    </comment>
    <comment ref="J6" authorId="18" shapeId="0" xr:uid="{347437F2-E7B9-43DA-839D-4E0CDBD473A9}">
      <text>
        <t>[Threaded comment]
Your version of Excel allows you to read this threaded comment; however, any edits to it will get removed if the file is opened in a newer version of Excel. Learn more: https://go.microsoft.com/fwlink/?linkid=870924
Comment:
    Input import File name,file should present in root directory of host prior to running testcases.</t>
      </text>
    </comment>
    <comment ref="K6" authorId="19" shapeId="0" xr:uid="{5EC1E455-E910-4E02-9D18-F00A25B90300}">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H7" authorId="20" shapeId="0" xr:uid="{275C16A5-21FE-4A63-A858-C13CBA77FF1F}">
      <text>
        <t>[Threaded comment]
Your version of Excel allows you to read this threaded comment; however, any edits to it will get removed if the file is opened in a newer version of Excel. Learn more: https://go.microsoft.com/fwlink/?linkid=870924
Comment:
    Download this CERT from ENM.CERT file should be placed in lms root directory by user before starting test. Cert file name must be provided in this box.</t>
      </text>
    </comment>
    <comment ref="I7" authorId="21" shapeId="0" xr:uid="{1BD04288-EF39-4B7E-8E67-FFEE174F41BC}">
      <text>
        <t>[Threaded comment]
Your version of Excel allows you to read this threaded comment; however, any edits to it will get removed if the file is opened in a newer version of Excel. Learn more: https://go.microsoft.com/fwlink/?linkid=870924
Comment:
    User must create a file containing userid and password of user with appropriate role in following format - IDToken1=&lt;username&gt;&amp;IDToken2=&lt;Password&gt; .Then place the file in lms root directory by user before starting test.same file name should be input here.</t>
      </text>
    </comment>
    <comment ref="J7" authorId="22" shapeId="0" xr:uid="{3D878DAC-47C2-4454-ABC7-AE2807A40EDC}">
      <text>
        <t>[Threaded comment]
Your version of Excel allows you to read this threaded comment; however, any edits to it will get removed if the file is opened in a newer version of Excel. Learn more: https://go.microsoft.com/fwlink/?linkid=870924
Comment:
    Input import File name,file should present in root directory of host prior to running testcases.</t>
      </text>
    </comment>
    <comment ref="K7" authorId="23" shapeId="0" xr:uid="{351DB36E-E118-48FB-9468-A9ED6B0DC0D2}">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H8" authorId="24" shapeId="0" xr:uid="{30DDCF41-314B-4841-A84E-6400E906055E}">
      <text>
        <t>[Threaded comment]
Your version of Excel allows you to read this threaded comment; however, any edits to it will get removed if the file is opened in a newer version of Excel. Learn more: https://go.microsoft.com/fwlink/?linkid=870924
Comment:
    Download this CERT from ENM.CERT file should be placed in lms root directory by user before starting test. Cert file name must be provided in this box.</t>
      </text>
    </comment>
    <comment ref="I8" authorId="25" shapeId="0" xr:uid="{B4FD29EB-DB5B-4395-A0A5-243AA1AAD880}">
      <text>
        <t>[Threaded comment]
Your version of Excel allows you to read this threaded comment; however, any edits to it will get removed if the file is opened in a newer version of Excel. Learn more: https://go.microsoft.com/fwlink/?linkid=870924
Comment:
    User must create a file containing userid and password of user with appropriate role in following format - IDToken1=&lt;username&gt;&amp;IDToken2=&lt;Password&gt; .Then place the file in lms root directory by user before starting test.same file name should be input here.</t>
      </text>
    </comment>
    <comment ref="J8" authorId="26" shapeId="0" xr:uid="{794A0464-F09C-415D-B86E-5D393DA2D71A}">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K8" authorId="27" shapeId="0" xr:uid="{317D8CFC-C4AC-489C-98EB-267CA423D1B7}">
      <text>
        <t>[Threaded comment]
Your version of Excel allows you to read this threaded comment; however, any edits to it will get removed if the file is opened in a newer version of Excel. Learn more: https://go.microsoft.com/fwlink/?linkid=870924
Comment:
    enter file type dynamic or 3gpp as applicable</t>
      </text>
    </comment>
    <comment ref="H9" authorId="28" shapeId="0" xr:uid="{D9D8896C-543A-48BB-AAD5-ECC6537F55F2}">
      <text>
        <t>[Threaded comment]
Your version of Excel allows you to read this threaded comment; however, any edits to it will get removed if the file is opened in a newer version of Excel. Learn more: https://go.microsoft.com/fwlink/?linkid=870924
Comment:
    Download this CERT from ENM.CERT file should be placed in lms root directory by user before starting test. Cert file name must be provided in this box.</t>
      </text>
    </comment>
    <comment ref="I9" authorId="29" shapeId="0" xr:uid="{8130987A-E934-4EE3-AD21-56279ACC2D2F}">
      <text>
        <t>[Threaded comment]
Your version of Excel allows you to read this threaded comment; however, any edits to it will get removed if the file is opened in a newer version of Excel. Learn more: https://go.microsoft.com/fwlink/?linkid=870924
Comment:
    User must create a file containing userid and password of user with appropriate role in following format - IDToken1=&lt;username&gt;&amp;IDToken2=&lt;Password&gt; .Then place the file in lms root directory by user before starting test.same file name should be input here.</t>
      </text>
    </comment>
    <comment ref="J9" authorId="30" shapeId="0" xr:uid="{C63BEBCA-760B-4E19-BE57-4929645500E1}">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K9" authorId="31" shapeId="0" xr:uid="{4C5B6255-828A-4124-A3DD-2109093957FA}">
      <text>
        <t>[Threaded comment]
Your version of Excel allows you to read this threaded comment; however, any edits to it will get removed if the file is opened in a newer version of Excel. Learn more: https://go.microsoft.com/fwlink/?linkid=870924
Comment:
    enter file type dynamic or 3gpp as applicable</t>
      </text>
    </comment>
    <comment ref="H10" authorId="32" shapeId="0" xr:uid="{F6DCC316-0C2D-48F0-A3CC-9B8013986AA8}">
      <text>
        <t>[Threaded comment]
Your version of Excel allows you to read this threaded comment; however, any edits to it will get removed if the file is opened in a newer version of Excel. Learn more: https://go.microsoft.com/fwlink/?linkid=870924
Comment:
    Download this CERT from ENM.CERT file should be placed in lms root directory by user before starting test. Cert file name must be provided in this box.</t>
      </text>
    </comment>
    <comment ref="I10" authorId="33" shapeId="0" xr:uid="{0083E055-E7EA-4D84-8116-4BBD142B2824}">
      <text>
        <t>[Threaded comment]
Your version of Excel allows you to read this threaded comment; however, any edits to it will get removed if the file is opened in a newer version of Excel. Learn more: https://go.microsoft.com/fwlink/?linkid=870924
Comment:
    User must create a file containing userid and password of user with appropriate role in following format - IDToken1=&lt;username&gt;&amp;IDToken2=&lt;Password&gt; .Then place the file in lms root directory by user before starting test.same file name should be input here.</t>
      </text>
    </comment>
    <comment ref="J10" authorId="34" shapeId="0" xr:uid="{14C32693-0BC0-4D01-B9AC-6007AFFDDA0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K10" authorId="35" shapeId="0" xr:uid="{DCB9A0C6-2C7E-4BEA-9B0C-4CDF54E25480}">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Manab Goswami</author>
  </authors>
  <commentList>
    <comment ref="D2" authorId="0" shapeId="0" xr:uid="{28EF7AE9-75EC-4AE4-9ABF-297B00C154BA}">
      <text>
        <r>
          <rPr>
            <b/>
            <sz val="9"/>
            <color indexed="81"/>
            <rFont val="Tahoma"/>
            <family val="2"/>
          </rPr>
          <t>Manab Goswami:</t>
        </r>
        <r>
          <rPr>
            <sz val="9"/>
            <color indexed="81"/>
            <rFont val="Tahoma"/>
            <family val="2"/>
          </rPr>
          <t xml:space="preserve">
specify file name with extension here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tc={54126891-49D0-4157-AB82-B99770DDE053}</author>
    <author>tc={A92BDBD4-643A-458E-9D44-AED5C437D512}</author>
    <author>tc={37526E49-2E4E-4A78-A8D9-CBCA18EF3C85}</author>
    <author>tc={323100F0-2ECE-4D32-B992-AE276463EC52}</author>
    <author>tc={338C8BE7-034B-490A-8704-47DBEFEAACD5}</author>
    <author>tc={AFAC6A92-9862-4885-880C-A8A094FE2505}</author>
    <author>tc={A669325A-5918-4BB7-9281-8335AC31BD13}</author>
  </authors>
  <commentList>
    <comment ref="M8" authorId="0" shapeId="0" xr:uid="{54126891-49D0-4157-AB82-B99770DDE053}">
      <text>
        <t>[Threaded comment]
Your version of Excel allows you to read this threaded comment; however, any edits to it will get removed if the file is opened in a newer version of Excel. Learn more: https://go.microsoft.com/fwlink/?linkid=870924
Comment:
    Enter LMS Ip</t>
      </text>
    </comment>
    <comment ref="N8" authorId="1" shapeId="0" xr:uid="{A92BDBD4-643A-458E-9D44-AED5C437D512}">
      <text>
        <t>[Threaded comment]
Your version of Excel allows you to read this threaded comment; however, any edits to it will get removed if the file is opened in a newer version of Excel. Learn more: https://go.microsoft.com/fwlink/?linkid=870924
Comment:
    Enter root user of LMS IP</t>
      </text>
    </comment>
    <comment ref="O8" authorId="2" shapeId="0" xr:uid="{37526E49-2E4E-4A78-A8D9-CBCA18EF3C85}">
      <text>
        <t>[Threaded comment]
Your version of Excel allows you to read this threaded comment; however, any edits to it will get removed if the file is opened in a newer version of Excel. Learn more: https://go.microsoft.com/fwlink/?linkid=870924
Comment:
    Enter Root Password for lms ip</t>
      </text>
    </comment>
    <comment ref="Q8" authorId="3" shapeId="0" xr:uid="{323100F0-2ECE-4D32-B992-AE276463EC52}">
      <text>
        <t>[Threaded comment]
Your version of Excel allows you to read this threaded comment; however, any edits to it will get removed if the file is opened in a newer version of Excel. Learn more: https://go.microsoft.com/fwlink/?linkid=870924
Comment:
    Enter a scripting blade-name that is present in LMS</t>
      </text>
    </comment>
    <comment ref="R8" authorId="4" shapeId="0" xr:uid="{338C8BE7-034B-490A-8704-47DBEFEAACD5}">
      <text>
        <t>[Threaded comment]
Your version of Excel allows you to read this threaded comment; however, any edits to it will get removed if the file is opened in a newer version of Excel. Learn more: https://go.microsoft.com/fwlink/?linkid=870924
Comment:
    Enter litp-admin user for provided Bladename(scriptinguser)</t>
      </text>
    </comment>
    <comment ref="S8" authorId="5" shapeId="0" xr:uid="{AFAC6A92-9862-4885-880C-A8A094FE2505}">
      <text>
        <t>[Threaded comment]
Your version of Excel allows you to read this threaded comment; however, any edits to it will get removed if the file is opened in a newer version of Excel. Learn more: https://go.microsoft.com/fwlink/?linkid=870924
Comment:
    Enter Bladepassword for BladeUsername</t>
      </text>
    </comment>
    <comment ref="T8" authorId="6" shapeId="0" xr:uid="{A669325A-5918-4BB7-9281-8335AC31BD13}">
      <text>
        <t>[Threaded comment]
Your version of Excel allows you to read this threaded comment; however, any edits to it will get removed if the file is opened in a newer version of Excel. Learn more: https://go.microsoft.com/fwlink/?linkid=870924
Comment:
    Enter Blade root password for BladeUserName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tc={AFCF6BEF-7048-4FDE-8783-B47D3A03B451}</author>
    <author>tc={B857E1B8-432B-4C3C-9D63-8AC450C1DB76}</author>
    <author>tc={B00DF895-CD8F-4E9B-B122-AE24D78611B3}</author>
    <author>tc={1666192C-0D91-4E3A-AE30-7C4F267BE356}</author>
    <author>tc={09440A94-4159-4031-926A-C65E7998DE4A}</author>
    <author>tc={16E956A4-63A0-4010-8E43-6E7B0E0A4623}</author>
    <author>tc={D8CD1011-A4D3-48B0-90BD-2D612CD4F887}</author>
    <author>tc={0BE5B33E-049C-4CA2-B392-692EF02DFFCA}</author>
    <author>tc={32AEAAAE-45F4-47FA-BFD4-B6ADABAEC9FB}</author>
    <author>tc={7E83E302-DB21-4946-B13B-ABC3167FC233}</author>
    <author>tc={0247A852-D5D6-4F63-ACBF-8FB8F5CFB76C}</author>
    <author>tc={FE625D9A-D63F-42EB-9FD1-75D402B12FDC}</author>
    <author>tc={5BC27FD9-900E-4628-8E16-54423A3B54C8}</author>
    <author>tc={ED20F038-7FFE-44E6-99FB-9839B66F0715}</author>
    <author>tc={611D211B-5B8B-4B31-87C5-3279845E9325}</author>
    <author>tc={1290C2DA-9D9B-4162-870F-A94898BBF99A}</author>
    <author>tc={9FB26F66-CBDC-4D4D-B6B1-6543A4EFBDEE}</author>
    <author>tc={D9A7026D-5C2D-4594-810F-FBDCBF4533CD}</author>
    <author>tc={E83DF43F-3D96-492E-B281-47034846754C}</author>
    <author>tc={353E4309-0040-4CCD-B68F-1F18585DF3EC}</author>
    <author>tc={BA616143-0BD3-465E-9794-0ECC4FF0DA7D}</author>
    <author>tc={AB66F3F4-00B1-47AD-8ACF-6D7D694EF2B8}</author>
    <author>tc={651507CA-8B9A-460C-9453-9EB68ED84857}</author>
    <author>tc={F5F1464D-DD85-461D-AB5D-FA7DB95BBE2A}</author>
    <author>tc={575BDED3-7CD4-49F6-8264-1BBEF25B02CF}</author>
    <author>tc={01D44EBD-8194-47D1-9101-CC751C2DD17C}</author>
    <author>tc={B433431F-E54D-403B-925F-6BB37167ED48}</author>
    <author>tc={52C92739-F3FD-4282-B37A-D182DFA66303}</author>
    <author>tc={B68492D8-8187-4E3F-A18F-AF1D45DAAB4F}</author>
    <author>tc={012FD645-4975-4D54-B653-01FE169C3125}</author>
    <author>tc={83102195-8D98-4045-88DD-BA1E80754EB3}</author>
  </authors>
  <commentList>
    <comment ref="C2" authorId="0" shapeId="0" xr:uid="{AFCF6BEF-7048-4FDE-8783-B47D3A03B451}">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 authorId="1" shapeId="0" xr:uid="{B857E1B8-432B-4C3C-9D63-8AC450C1DB76}">
      <text>
        <t>[Threaded comment]
Your version of Excel allows you to read this threaded comment; however, any edits to it will get removed if the file is opened in a newer version of Excel. Learn more: https://go.microsoft.com/fwlink/?linkid=870924
Comment:
    Enter a nodename to create</t>
      </text>
    </comment>
    <comment ref="D3" authorId="2" shapeId="0" xr:uid="{B00DF895-CD8F-4E9B-B122-AE24D78611B3}">
      <text>
        <t>[Threaded comment]
Your version of Excel allows you to read this threaded comment; however, any edits to it will get removed if the file is opened in a newer version of Excel. Learn more: https://go.microsoft.com/fwlink/?linkid=870924
Comment:
    Enter a nodetype you want to create</t>
      </text>
    </comment>
    <comment ref="E3" authorId="3" shapeId="0" xr:uid="{1666192C-0D91-4E3A-AE30-7C4F267BE356}">
      <text>
        <t>[Threaded comment]
Your version of Excel allows you to read this threaded comment; however, any edits to it will get removed if the file is opened in a newer version of Excel. Learn more: https://go.microsoft.com/fwlink/?linkid=870924
Comment:
    Enter IP for Node</t>
      </text>
    </comment>
    <comment ref="F3" authorId="4" shapeId="0" xr:uid="{09440A94-4159-4031-926A-C65E7998DE4A}">
      <text>
        <t>[Threaded comment]
Your version of Excel allows you to read this threaded comment; however, any edits to it will get removed if the file is opened in a newer version of Excel. Learn more: https://go.microsoft.com/fwlink/?linkid=870924
Comment:
    Enter SecurityPass for Node</t>
      </text>
    </comment>
    <comment ref="I3" authorId="5" shapeId="0" xr:uid="{16E956A4-63A0-4010-8E43-6E7B0E0A4623}">
      <text>
        <t>[Threaded comment]
Your version of Excel allows you to read this threaded comment; however, any edits to it will get removed if the file is opened in a newer version of Excel. Learn more: https://go.microsoft.com/fwlink/?linkid=870924
Comment:
    Enter SecurityPassword for Node</t>
      </text>
    </comment>
    <comment ref="C4" authorId="6" shapeId="0" xr:uid="{D8CD1011-A4D3-48B0-90BD-2D612CD4F887}">
      <text>
        <t>[Threaded comment]
Your version of Excel allows you to read this threaded comment; however, any edits to it will get removed if the file is opened in a newer version of Excel. Learn more: https://go.microsoft.com/fwlink/?linkid=870924
Comment:
    Enter a nodename to create</t>
      </text>
    </comment>
    <comment ref="E4" authorId="7" shapeId="0" xr:uid="{0BE5B33E-049C-4CA2-B392-692EF02DFFCA}">
      <text>
        <t>[Threaded comment]
Your version of Excel allows you to read this threaded comment; however, any edits to it will get removed if the file is opened in a newer version of Excel. Learn more: https://go.microsoft.com/fwlink/?linkid=870924
Comment:
    Enter IP for Node</t>
      </text>
    </comment>
    <comment ref="F4" authorId="8" shapeId="0" xr:uid="{32AEAAAE-45F4-47FA-BFD4-B6ADABAEC9FB}">
      <text>
        <t>[Threaded comment]
Your version of Excel allows you to read this threaded comment; however, any edits to it will get removed if the file is opened in a newer version of Excel. Learn more: https://go.microsoft.com/fwlink/?linkid=870924
Comment:
    Enter SecurityPass for Node</t>
      </text>
    </comment>
    <comment ref="I4" authorId="9" shapeId="0" xr:uid="{7E83E302-DB21-4946-B13B-ABC3167FC233}">
      <text>
        <t>[Threaded comment]
Your version of Excel allows you to read this threaded comment; however, any edits to it will get removed if the file is opened in a newer version of Excel. Learn more: https://go.microsoft.com/fwlink/?linkid=870924
Comment:
    Enter SecurityPassword for Node</t>
      </text>
    </comment>
    <comment ref="C5" authorId="10" shapeId="0" xr:uid="{0247A852-D5D6-4F63-ACBF-8FB8F5CFB76C}">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6" authorId="11" shapeId="0" xr:uid="{FE625D9A-D63F-42EB-9FD1-75D402B12FDC}">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7" authorId="12" shapeId="0" xr:uid="{5BC27FD9-900E-4628-8E16-54423A3B54C8}">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8" authorId="13" shapeId="0" xr:uid="{ED20F038-7FFE-44E6-99FB-9839B66F0715}">
      <text>
        <t>[Threaded comment]
Your version of Excel allows you to read this threaded comment; however, any edits to it will get removed if the file is opened in a newer version of Excel. Learn more: https://go.microsoft.com/fwlink/?linkid=870924
Comment:
    Enter a nodename to create</t>
      </text>
    </comment>
    <comment ref="E8" authorId="14" shapeId="0" xr:uid="{611D211B-5B8B-4B31-87C5-3279845E9325}">
      <text>
        <t>[Threaded comment]
Your version of Excel allows you to read this threaded comment; however, any edits to it will get removed if the file is opened in a newer version of Excel. Learn more: https://go.microsoft.com/fwlink/?linkid=870924
Comment:
    Enter IP for Node</t>
      </text>
    </comment>
    <comment ref="F8" authorId="15" shapeId="0" xr:uid="{1290C2DA-9D9B-4162-870F-A94898BBF99A}">
      <text>
        <t>[Threaded comment]
Your version of Excel allows you to read this threaded comment; however, any edits to it will get removed if the file is opened in a newer version of Excel. Learn more: https://go.microsoft.com/fwlink/?linkid=870924
Comment:
    Enter SecurityPass for Node</t>
      </text>
    </comment>
    <comment ref="I8" authorId="16" shapeId="0" xr:uid="{9FB26F66-CBDC-4D4D-B6B1-6543A4EFBDEE}">
      <text>
        <t>[Threaded comment]
Your version of Excel allows you to read this threaded comment; however, any edits to it will get removed if the file is opened in a newer version of Excel. Learn more: https://go.microsoft.com/fwlink/?linkid=870924
Comment:
    Enter SecurityPassword for Node</t>
      </text>
    </comment>
    <comment ref="C9" authorId="17" shapeId="0" xr:uid="{D9A7026D-5C2D-4594-810F-FBDCBF4533CD}">
      <text>
        <t>[Threaded comment]
Your version of Excel allows you to read this threaded comment; however, any edits to it will get removed if the file is opened in a newer version of Excel. Learn more: https://go.microsoft.com/fwlink/?linkid=870924
Comment:
    Enter a nodename to create</t>
      </text>
    </comment>
    <comment ref="E9" authorId="18" shapeId="0" xr:uid="{E83DF43F-3D96-492E-B281-47034846754C}">
      <text>
        <t>[Threaded comment]
Your version of Excel allows you to read this threaded comment; however, any edits to it will get removed if the file is opened in a newer version of Excel. Learn more: https://go.microsoft.com/fwlink/?linkid=870924
Comment:
    Enter IP for Node</t>
      </text>
    </comment>
    <comment ref="F9" authorId="19" shapeId="0" xr:uid="{353E4309-0040-4CCD-B68F-1F18585DF3EC}">
      <text>
        <t>[Threaded comment]
Your version of Excel allows you to read this threaded comment; however, any edits to it will get removed if the file is opened in a newer version of Excel. Learn more: https://go.microsoft.com/fwlink/?linkid=870924
Comment:
    Enter SecurityPass for Node</t>
      </text>
    </comment>
    <comment ref="I9" authorId="20" shapeId="0" xr:uid="{BA616143-0BD3-465E-9794-0ECC4FF0DA7D}">
      <text>
        <t>[Threaded comment]
Your version of Excel allows you to read this threaded comment; however, any edits to it will get removed if the file is opened in a newer version of Excel. Learn more: https://go.microsoft.com/fwlink/?linkid=870924
Comment:
    Enter SecurityPassword for Node</t>
      </text>
    </comment>
    <comment ref="C10" authorId="21" shapeId="0" xr:uid="{AB66F3F4-00B1-47AD-8ACF-6D7D694EF2B8}">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1" authorId="22" shapeId="0" xr:uid="{651507CA-8B9A-460C-9453-9EB68ED84857}">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2" authorId="23" shapeId="0" xr:uid="{F5F1464D-DD85-461D-AB5D-FA7DB95BBE2A}">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J12" authorId="24" shapeId="0" xr:uid="{575BDED3-7CD4-49F6-8264-1BBEF25B02C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K12" authorId="25" shapeId="0" xr:uid="{01D44EBD-8194-47D1-9101-CC751C2DD17C}">
      <text>
        <t>[Threaded comment]
Your version of Excel allows you to read this threaded comment; however, any edits to it will get removed if the file is opened in a newer version of Excel. Learn more: https://go.microsoft.com/fwlink/?linkid=870924
Comment:
    Enter a  Name For the Link, Without any space in between two wards</t>
      </text>
    </comment>
    <comment ref="C13" authorId="26" shapeId="0" xr:uid="{B433431F-E54D-403B-925F-6BB37167ED48}">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J13" authorId="27" shapeId="0" xr:uid="{52C92739-F3FD-4282-B37A-D182DFA66303}">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K13" authorId="28" shapeId="0" xr:uid="{B68492D8-8187-4E3F-A18F-AF1D45DAAB4F}">
      <text>
        <t>[Threaded comment]
Your version of Excel allows you to read this threaded comment; however, any edits to it will get removed if the file is opened in a newer version of Excel. Learn more: https://go.microsoft.com/fwlink/?linkid=870924
Comment:
    Enter the same Link name as above</t>
      </text>
    </comment>
    <comment ref="C14" authorId="29" shapeId="0" xr:uid="{012FD645-4975-4D54-B653-01FE169C312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J14" authorId="30" shapeId="0" xr:uid="{83102195-8D98-4045-88DD-BA1E80754EB3}">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tc={4A29FF1E-7476-4077-96A0-0B441E0E00A2}</author>
    <author>tc={F22A7639-8E2E-4901-A384-689D3CD42DD4}</author>
    <author>tc={561D883F-DF28-4211-9730-1D7D248B3355}</author>
    <author>tc={E5952FC8-066D-4F50-97C9-C3B9DB6B9DDB}</author>
    <author>tc={479FDF30-516E-4703-8CB0-96343AC6F4BE}</author>
    <author>tc={4BBFC5A2-6FBE-440E-ABF0-50678F2A2613}</author>
    <author>tc={AC3BC586-8778-44B2-BB7C-6FA4C2C39DAF}</author>
    <author>tc={F49E0B90-5AF2-4AD6-A66D-C922EAD45BD6}</author>
    <author>tc={3ACAEC6C-5A11-4C45-9181-A5092E63A83E}</author>
    <author>tc={81002A97-E0C3-412A-B716-C4BDF6D3800E}</author>
    <author>tc={D0AD370A-84B2-4E78-8739-54059DA09A13}</author>
    <author>tc={F94B8A8E-CE2C-41C9-9167-F29656881D26}</author>
    <author>tc={02440016-2186-420B-85A0-3FDF5022470B}</author>
    <author>tc={E0E71BA9-9521-4FB6-A181-A866FCE92475}</author>
    <author>tc={034D9232-6BFC-4FDD-A3DF-86DD6B9FF9D7}</author>
    <author>tc={7AC36F38-E8A8-4778-B064-B9E7A76904B5}</author>
    <author>tc={76D6F2F7-D8F4-4D38-84F5-51B090425D39}</author>
  </authors>
  <commentList>
    <comment ref="C2" authorId="0" shapeId="0" xr:uid="{4A29FF1E-7476-4077-96A0-0B441E0E00A2}">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I2" authorId="1" shapeId="0" xr:uid="{F22A7639-8E2E-4901-A384-689D3CD42DD4}">
      <text>
        <t>[Threaded comment]
Your version of Excel allows you to read this threaded comment; however, any edits to it will get removed if the file is opened in a newer version of Excel. Learn more: https://go.microsoft.com/fwlink/?linkid=870924
Comment:
    Give a report-name for NHC report</t>
      </text>
    </comment>
    <comment ref="J2" authorId="2" shapeId="0" xr:uid="{561D883F-DF28-4211-9730-1D7D248B3355}">
      <text>
        <t>[Threaded comment]
Your version of Excel allows you to read this threaded comment; however, any edits to it will get removed if the file is opened in a newer version of Excel. Learn more: https://go.microsoft.com/fwlink/?linkid=870924
Comment:
    Give a Category for NHC report(PRE_INSTALL OR PRE_UPGRADE OR POST_UPGRADE )</t>
      </text>
    </comment>
    <comment ref="I3" authorId="3" shapeId="0" xr:uid="{E5952FC8-066D-4F50-97C9-C3B9DB6B9DDB}">
      <text>
        <t>[Threaded comment]
Your version of Excel allows you to read this threaded comment; however, any edits to it will get removed if the file is opened in a newer version of Excel. Learn more: https://go.microsoft.com/fwlink/?linkid=870924
Comment:
    Give Reportname as in rowno.2</t>
      </text>
    </comment>
    <comment ref="D4" authorId="4" shapeId="0" xr:uid="{479FDF30-516E-4703-8CB0-96343AC6F4BE}">
      <text>
        <t>[Threaded comment]
Your version of Excel allows you to read this threaded comment; however, any edits to it will get removed if the file is opened in a newer version of Excel. Learn more: https://go.microsoft.com/fwlink/?linkid=870924
Comment:
    This is dependent on NHC-4.11. Report and profile name should be same</t>
      </text>
    </comment>
    <comment ref="D6" authorId="5" shapeId="0" xr:uid="{4BBFC5A2-6FBE-440E-ABF0-50678F2A2613}">
      <text>
        <t>[Threaded comment]
Your version of Excel allows you to read this threaded comment; however, any edits to it will get removed if the file is opened in a newer version of Excel. Learn more: https://go.microsoft.com/fwlink/?linkid=870924
Comment:
    This is dependednt on NHC-4.9. Profile name should be same</t>
      </text>
    </comment>
    <comment ref="K9" authorId="6" shapeId="0" xr:uid="{AC3BC586-8778-44B2-BB7C-6FA4C2C39DAF}">
      <text>
        <t>[Threaded comment]
Your version of Excel allows you to read this threaded comment; however, any edits to it will get removed if the file is opened in a newer version of Excel. Learn more: https://go.microsoft.com/fwlink/?linkid=870924
Comment:
    Enter LMS Ip</t>
      </text>
    </comment>
    <comment ref="L9" authorId="7" shapeId="0" xr:uid="{F49E0B90-5AF2-4AD6-A66D-C922EAD45BD6}">
      <text>
        <t>[Threaded comment]
Your version of Excel allows you to read this threaded comment; however, any edits to it will get removed if the file is opened in a newer version of Excel. Learn more: https://go.microsoft.com/fwlink/?linkid=870924
Comment:
    Enter root user of LMS IP</t>
      </text>
    </comment>
    <comment ref="M9" authorId="8" shapeId="0" xr:uid="{3ACAEC6C-5A11-4C45-9181-A5092E63A83E}">
      <text>
        <t>[Threaded comment]
Your version of Excel allows you to read this threaded comment; however, any edits to it will get removed if the file is opened in a newer version of Excel. Learn more: https://go.microsoft.com/fwlink/?linkid=870924
Comment:
    Enter Root Password for lms ip</t>
      </text>
    </comment>
    <comment ref="O9" authorId="9" shapeId="0" xr:uid="{81002A97-E0C3-412A-B716-C4BDF6D3800E}">
      <text>
        <t>[Threaded comment]
Your version of Excel allows you to read this threaded comment; however, any edits to it will get removed if the file is opened in a newer version of Excel. Learn more: https://go.microsoft.com/fwlink/?linkid=870924
Comment:
    Enter a scripting blade-name that is present in LMS</t>
      </text>
    </comment>
    <comment ref="P9" authorId="10" shapeId="0" xr:uid="{D0AD370A-84B2-4E78-8739-54059DA09A13}">
      <text>
        <t>[Threaded comment]
Your version of Excel allows you to read this threaded comment; however, any edits to it will get removed if the file is opened in a newer version of Excel. Learn more: https://go.microsoft.com/fwlink/?linkid=870924
Comment:
    Enter litp-admin user for provided Bladename(scriptinguser)</t>
      </text>
    </comment>
    <comment ref="Q9" authorId="11" shapeId="0" xr:uid="{F94B8A8E-CE2C-41C9-9167-F29656881D26}">
      <text>
        <t>[Threaded comment]
Your version of Excel allows you to read this threaded comment; however, any edits to it will get removed if the file is opened in a newer version of Excel. Learn more: https://go.microsoft.com/fwlink/?linkid=870924
Comment:
    Enter Bladepassword for BladeUsername</t>
      </text>
    </comment>
    <comment ref="R9" authorId="12" shapeId="0" xr:uid="{02440016-2186-420B-85A0-3FDF5022470B}">
      <text>
        <t>[Threaded comment]
Your version of Excel allows you to read this threaded comment; however, any edits to it will get removed if the file is opened in a newer version of Excel. Learn more: https://go.microsoft.com/fwlink/?linkid=870924
Comment:
    Enter Blade root password for BladeUserName</t>
      </text>
    </comment>
    <comment ref="C10" authorId="13" shapeId="0" xr:uid="{E0E71BA9-9521-4FB6-A181-A866FCE9247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1" authorId="14" shapeId="0" xr:uid="{034D9232-6BFC-4FDD-A3DF-86DD6B9FF9D7}">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2" authorId="15" shapeId="0" xr:uid="{7AC36F38-E8A8-4778-B064-B9E7A76904B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3" authorId="16" shapeId="0" xr:uid="{76D6F2F7-D8F4-4D38-84F5-51B090425D39}">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tc={99E8CB28-51BE-405A-B1CE-D8758B8DC88F}</author>
    <author>tc={2AB7E8AA-6A1D-4A63-B3A5-123B3779DCA2}</author>
    <author>tc={048CA123-C90D-4640-B976-919956730649}</author>
    <author>tc={942D4517-FA6B-40EE-A25A-BF999DED2F5B}</author>
    <author>tc={536682E5-7E8C-436D-A3BE-178469D979F4}</author>
    <author>tc={A2AC58E7-0E50-482E-ABC1-DDE806DCA48D}</author>
    <author>tc={CA9EFA68-164B-4335-A0C4-D56CA302F994}</author>
    <author>tc={01483F8F-6DFD-4127-85E1-4650628CD249}</author>
    <author>tc={91EBCBA0-B4F7-4C08-B032-E6803B141828}</author>
    <author>tc={A0E703EC-EA33-4CF9-8DF3-955716C275AB}</author>
    <author>tc={BFFA3BAC-9582-4961-8B46-2846EF3D55C4}</author>
  </authors>
  <commentList>
    <comment ref="C2" authorId="0" shapeId="0" xr:uid="{99E8CB28-51BE-405A-B1CE-D8758B8DC88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 authorId="1" shapeId="0" xr:uid="{2AB7E8AA-6A1D-4A63-B3A5-123B3779DCA2}">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4" authorId="2" shapeId="0" xr:uid="{048CA123-C90D-4640-B976-919956730649}">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5" authorId="3" shapeId="0" xr:uid="{942D4517-FA6B-40EE-A25A-BF999DED2F5B}">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6" authorId="4" shapeId="0" xr:uid="{536682E5-7E8C-436D-A3BE-178469D979F4}">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7" authorId="5" shapeId="0" xr:uid="{A2AC58E7-0E50-482E-ABC1-DDE806DCA48D}">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8" authorId="6" shapeId="0" xr:uid="{CA9EFA68-164B-4335-A0C4-D56CA302F994}">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9" authorId="7" shapeId="0" xr:uid="{01483F8F-6DFD-4127-85E1-4650628CD249}">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0" authorId="8" shapeId="0" xr:uid="{91EBCBA0-B4F7-4C08-B032-E6803B141828}">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E10" authorId="9" shapeId="0" xr:uid="{A0E703EC-EA33-4CF9-8DF3-955716C275AB}">
      <text>
        <t>[Threaded comment]
Your version of Excel allows you to read this threaded comment; however, any edits to it will get removed if the file is opened in a newer version of Excel. Learn more: https://go.microsoft.com/fwlink/?linkid=870924
Comment:
    Please create one user with operator role in system(if not already exist) and provide username here</t>
      </text>
    </comment>
    <comment ref="F10" authorId="10" shapeId="0" xr:uid="{BFFA3BAC-9582-4961-8B46-2846EF3D55C4}">
      <text>
        <t>[Threaded comment]
Your version of Excel allows you to read this threaded comment; however, any edits to it will get removed if the file is opened in a newer version of Excel. Learn more: https://go.microsoft.com/fwlink/?linkid=870924
Comment:
    Please create one user with operator role in system(if not already exist) and provide Password here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tc={FF1E7BBA-28B3-46A3-B0B9-ACBBF1D6E9D5}</author>
    <author>tc={1B5D06E9-EA77-4E1C-8D24-E17C90AFCD9E}</author>
  </authors>
  <commentList>
    <comment ref="C2" authorId="0" shapeId="0" xr:uid="{FF1E7BBA-28B3-46A3-B0B9-ACBBF1D6E9D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 authorId="1" shapeId="0" xr:uid="{1B5D06E9-EA77-4E1C-8D24-E17C90AFCD9E}">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tc={D51B933B-DD04-4FA1-B37C-BA6ABCA0497D}</author>
    <author>tc={B81EC293-0B62-44AC-935A-3F742E0D159C}</author>
    <author>tc={DF02200F-4C97-4186-88A8-5AAAEA8C66EE}</author>
    <author>tc={5B970CD6-F281-4EB5-B6E6-3673B4DF90A4}</author>
    <author>tc={A8B6144D-A72A-4B2C-954A-34604327F23A}</author>
    <author>tc={30C2CF6C-7BE3-4739-AADB-AE3978B92FC5}</author>
    <author>tc={6C91F275-352F-40FA-9540-F2CE3F92223B}</author>
    <author>tc={531440D2-5930-4390-B099-04C8F96C693E}</author>
    <author>tc={FEC0C8E3-5FE2-4900-9A8F-B6BEF56B4C0F}</author>
    <author>tc={31AFDA01-8986-4E88-9D0E-2FAADAF2121F}</author>
    <author>tc={C8903799-3BBD-4014-BFC4-BFEFE4A746E8}</author>
    <author>tc={29646F8C-B996-4649-9B82-A7038696053C}</author>
    <author>tc={D4EA15E6-7CD4-4C7B-A00D-6FBB5B7CFE87}</author>
    <author>tc={DA6CA046-A623-4E8F-A793-EFF981BD0046}</author>
    <author>tc={345C8C8D-AFF2-4D51-A007-95801C255B35}</author>
    <author>tc={C1EE097D-DCBF-4141-9831-289712D6DD0D}</author>
  </authors>
  <commentList>
    <comment ref="C2" authorId="0" shapeId="0" xr:uid="{D51B933B-DD04-4FA1-B37C-BA6ABCA0497D}">
      <text>
        <t>[Threaded comment]
Your version of Excel allows you to read this threaded comment; however, any edits to it will get removed if the file is opened in a newer version of Excel. Learn more: https://go.microsoft.com/fwlink/?linkid=870924
Comment:
    Enter a nodetype to modify parameters</t>
      </text>
    </comment>
    <comment ref="D2" authorId="1" shapeId="0" xr:uid="{B81EC293-0B62-44AC-935A-3F742E0D159C}">
      <text>
        <t>[Threaded comment]
Your version of Excel allows you to read this threaded comment; however, any edits to it will get removed if the file is opened in a newer version of Excel. Learn more: https://go.microsoft.com/fwlink/?linkid=870924
Comment:
    Enter node based on NodeType</t>
      </text>
    </comment>
    <comment ref="E2" authorId="2" shapeId="0" xr:uid="{DF02200F-4C97-4186-88A8-5AAAEA8C66EE}">
      <text>
        <t>[Threaded comment]
Your version of Excel allows you to read this threaded comment; however, any edits to it will get removed if the file is opened in a newer version of Excel. Learn more: https://go.microsoft.com/fwlink/?linkid=870924
Comment:
    Enter value you want as parameter value</t>
      </text>
    </comment>
    <comment ref="F2" authorId="3" shapeId="0" xr:uid="{5B970CD6-F281-4EB5-B6E6-3673B4DF90A4}">
      <text>
        <t>[Threaded comment]
Your version of Excel allows you to read this threaded comment; however, any edits to it will get removed if the file is opened in a newer version of Excel. Learn more: https://go.microsoft.com/fwlink/?linkid=870924
Comment:
    Enter a Parameter value for Testing</t>
      </text>
    </comment>
    <comment ref="C3" authorId="4" shapeId="0" xr:uid="{A8B6144D-A72A-4B2C-954A-34604327F23A}">
      <text>
        <t>[Threaded comment]
Your version of Excel allows you to read this threaded comment; however, any edits to it will get removed if the file is opened in a newer version of Excel. Learn more: https://go.microsoft.com/fwlink/?linkid=870924
Comment:
    Enter a nodetype to modify parameters</t>
      </text>
    </comment>
    <comment ref="D3" authorId="5" shapeId="0" xr:uid="{30C2CF6C-7BE3-4739-AADB-AE3978B92FC5}">
      <text>
        <t>[Threaded comment]
Your version of Excel allows you to read this threaded comment; however, any edits to it will get removed if the file is opened in a newer version of Excel. Learn more: https://go.microsoft.com/fwlink/?linkid=870924
Comment:
    Enter node based on NodeType</t>
      </text>
    </comment>
    <comment ref="E3" authorId="6" shapeId="0" xr:uid="{6C91F275-352F-40FA-9540-F2CE3F92223B}">
      <text>
        <t>[Threaded comment]
Your version of Excel allows you to read this threaded comment; however, any edits to it will get removed if the file is opened in a newer version of Excel. Learn more: https://go.microsoft.com/fwlink/?linkid=870924
Comment:
    Enter value you want as parameter value</t>
      </text>
    </comment>
    <comment ref="F3" authorId="7" shapeId="0" xr:uid="{531440D2-5930-4390-B099-04C8F96C693E}">
      <text>
        <t>[Threaded comment]
Your version of Excel allows you to read this threaded comment; however, any edits to it will get removed if the file is opened in a newer version of Excel. Learn more: https://go.microsoft.com/fwlink/?linkid=870924
Comment:
    Enter a Parameter value for Testing</t>
      </text>
    </comment>
    <comment ref="C4" authorId="8" shapeId="0" xr:uid="{FEC0C8E3-5FE2-4900-9A8F-B6BEF56B4C0F}">
      <text>
        <t>[Threaded comment]
Your version of Excel allows you to read this threaded comment; however, any edits to it will get removed if the file is opened in a newer version of Excel. Learn more: https://go.microsoft.com/fwlink/?linkid=870924
Comment:
    Enter a nodetype to modify parameters</t>
      </text>
    </comment>
    <comment ref="D4" authorId="9" shapeId="0" xr:uid="{31AFDA01-8986-4E88-9D0E-2FAADAF2121F}">
      <text>
        <t>[Threaded comment]
Your version of Excel allows you to read this threaded comment; however, any edits to it will get removed if the file is opened in a newer version of Excel. Learn more: https://go.microsoft.com/fwlink/?linkid=870924
Comment:
    Enter node based on NodeType</t>
      </text>
    </comment>
    <comment ref="E4" authorId="10" shapeId="0" xr:uid="{C8903799-3BBD-4014-BFC4-BFEFE4A746E8}">
      <text>
        <t>[Threaded comment]
Your version of Excel allows you to read this threaded comment; however, any edits to it will get removed if the file is opened in a newer version of Excel. Learn more: https://go.microsoft.com/fwlink/?linkid=870924
Comment:
    Enter value you want as parameter value</t>
      </text>
    </comment>
    <comment ref="F4" authorId="11" shapeId="0" xr:uid="{29646F8C-B996-4649-9B82-A7038696053C}">
      <text>
        <t>[Threaded comment]
Your version of Excel allows you to read this threaded comment; however, any edits to it will get removed if the file is opened in a newer version of Excel. Learn more: https://go.microsoft.com/fwlink/?linkid=870924
Comment:
    Enter a Parameter value for Testing</t>
      </text>
    </comment>
    <comment ref="C5" authorId="12" shapeId="0" xr:uid="{D4EA15E6-7CD4-4C7B-A00D-6FBB5B7CFE87}">
      <text>
        <t>[Threaded comment]
Your version of Excel allows you to read this threaded comment; however, any edits to it will get removed if the file is opened in a newer version of Excel. Learn more: https://go.microsoft.com/fwlink/?linkid=870924
Comment:
    Enter a nodetype to modify parameters</t>
      </text>
    </comment>
    <comment ref="D5" authorId="13" shapeId="0" xr:uid="{DA6CA046-A623-4E8F-A793-EFF981BD0046}">
      <text>
        <t>[Threaded comment]
Your version of Excel allows you to read this threaded comment; however, any edits to it will get removed if the file is opened in a newer version of Excel. Learn more: https://go.microsoft.com/fwlink/?linkid=870924
Comment:
    Enter node based on NodeType</t>
      </text>
    </comment>
    <comment ref="E5" authorId="14" shapeId="0" xr:uid="{345C8C8D-AFF2-4D51-A007-95801C255B35}">
      <text>
        <t>[Threaded comment]
Your version of Excel allows you to read this threaded comment; however, any edits to it will get removed if the file is opened in a newer version of Excel. Learn more: https://go.microsoft.com/fwlink/?linkid=870924
Comment:
    Enter value you want as parameter value</t>
      </text>
    </comment>
    <comment ref="F5" authorId="15" shapeId="0" xr:uid="{C1EE097D-DCBF-4141-9831-289712D6DD0D}">
      <text>
        <t>[Threaded comment]
Your version of Excel allows you to read this threaded comment; however, any edits to it will get removed if the file is opened in a newer version of Excel. Learn more: https://go.microsoft.com/fwlink/?linkid=870924
Comment:
    Enter a Parameter value for Testing</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tc={2F6FA9DD-E2BD-4EF4-BBA4-4C6789A9A6BB}</author>
  </authors>
  <commentList>
    <comment ref="I9" authorId="0" shapeId="0" xr:uid="{2F6FA9DD-E2BD-4EF4-BBA4-4C6789A9A6BB}">
      <text>
        <t>[Threaded comment]
Your version of Excel allows you to read this threaded comment; however, any edits to it will get removed if the file is opened in a newer version of Excel. Learn more: https://go.microsoft.com/fwlink/?linkid=870924
Comment:
    Please Download This two files(SimpleModule2-1.1.fmx and wait5n10-1.0.fmx) from FMX GAT Doc 2.1.4.Then Put it in Automation folder and give the file names in this cell.</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tc={7E6C9870-5AF5-45A3-807C-2C4E90733B24}</author>
    <author>tc={1AA41594-E304-458C-B6F8-0CA00AA93D15}</author>
    <author>tc={1C552C74-31EC-495B-975D-5C0F69FA6FE4}</author>
    <author>tc={78CE42E2-6EBA-4F1B-9E25-62668299E84B}</author>
  </authors>
  <commentList>
    <comment ref="C2" authorId="0" shapeId="0" xr:uid="{7E6C9870-5AF5-45A3-807C-2C4E90733B24}">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 authorId="1" shapeId="0" xr:uid="{1AA41594-E304-458C-B6F8-0CA00AA93D1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4" authorId="2" shapeId="0" xr:uid="{1C552C74-31EC-495B-975D-5C0F69FA6FE4}">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5" authorId="3" shapeId="0" xr:uid="{78CE42E2-6EBA-4F1B-9E25-62668299E84B}">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tc={8187736C-D5F7-4F5D-8246-0FDF6A52EEE5}</author>
    <author>tc={41598897-6744-441D-9270-D890DC7BA495}</author>
    <author>tc={940D3E9C-087A-498C-90CE-23F785045EEA}</author>
    <author>tc={EB74F845-E17D-44BF-8935-145827E1B2CD}</author>
    <author>tc={9CD7798D-D7C0-49E0-9DC3-FF9F3E9EE57D}</author>
    <author>tc={357EFE4B-F271-408D-A574-A1064D7BA878}</author>
    <author>tc={4302CDCD-EDC6-42F4-8676-676A6766EB74}</author>
    <author>tc={7F99DAEB-BB01-4F64-92A6-BA3CB86207F5}</author>
    <author>tc={29772D99-23D5-4E21-9402-6D86F33A0A87}</author>
    <author>tc={859A3364-2E22-40F6-BBAF-9B2AC95DD839}</author>
    <author>tc={FC2FF899-E8B2-4389-9F5A-0B0B1D83B3F6}</author>
    <author>tc={31AAC412-823D-4DBE-8863-197DEF0BD114}</author>
    <author>tc={844C49F3-4741-41DD-8F76-208A08E75885}</author>
    <author>tc={614F31D9-A9ED-4D76-8F79-45B3AC01EFB4}</author>
    <author>tc={E7EE64AE-00B7-4776-B0FE-96198769C25B}</author>
    <author>tc={3129E7B4-2270-4220-A020-F276E69372B8}</author>
    <author>tc={CD62327B-839D-47BA-BC07-B9E0DDB9F4A3}</author>
    <author>tc={056E2D56-3CAC-48FA-8806-731D2F34051B}</author>
    <author>tc={F4935270-745A-4DBF-AF3C-302129DA6E29}</author>
    <author>tc={A5A74EA7-5585-41D2-BA04-2DB3897C6F8B}</author>
    <author>tc={C616CEF5-41E0-4352-9C79-9AE757499ED0}</author>
    <author>tc={88116744-1623-41A4-B08D-292137F940B4}</author>
    <author>tc={75AAAA27-2BFB-4745-926D-E904B8C35C56}</author>
    <author>tc={5359399F-634A-4A97-B482-B828B26B4E20}</author>
    <author>tc={0CD70928-260D-4E94-9003-A9C93136EA50}</author>
  </authors>
  <commentList>
    <comment ref="D2" authorId="0" shapeId="0" xr:uid="{8187736C-D5F7-4F5D-8246-0FDF6A52EEE5}">
      <text>
        <t>[Threaded comment]
Your version of Excel allows you to read this threaded comment; however, any edits to it will get removed if the file is opened in a newer version of Excel. Learn more: https://go.microsoft.com/fwlink/?linkid=870924
Comment:
    Do not change the password as it format specific</t>
      </text>
    </comment>
    <comment ref="E2" authorId="1" shapeId="0" xr:uid="{41598897-6744-441D-9270-D890DC7BA495}">
      <text>
        <t>[Threaded comment]
Your version of Excel allows you to read this threaded comment; however, any edits to it will get removed if the file is opened in a newer version of Excel. Learn more: https://go.microsoft.com/fwlink/?linkid=870924
Comment:
    Do not change the password as it format specific</t>
      </text>
    </comment>
    <comment ref="F2" authorId="2" shapeId="0" xr:uid="{940D3E9C-087A-498C-90CE-23F785045EEA}">
      <text>
        <t>[Threaded comment]
Your version of Excel allows you to read this threaded comment; however, any edits to it will get removed if the file is opened in a newer version of Excel. Learn more: https://go.microsoft.com/fwlink/?linkid=870924
Comment:
    Do not change the password as it format specific</t>
      </text>
    </comment>
    <comment ref="G2" authorId="3" shapeId="0" xr:uid="{EB74F845-E17D-44BF-8935-145827E1B2CD}">
      <text>
        <t>[Threaded comment]
Your version of Excel allows you to read this threaded comment; however, any edits to it will get removed if the file is opened in a newer version of Excel. Learn more: https://go.microsoft.com/fwlink/?linkid=870924
Comment:
    Give a username to create</t>
      </text>
    </comment>
    <comment ref="D3" authorId="4" shapeId="0" xr:uid="{9CD7798D-D7C0-49E0-9DC3-FF9F3E9EE57D}">
      <text>
        <t>[Threaded comment]
Your version of Excel allows you to read this threaded comment; however, any edits to it will get removed if the file is opened in a newer version of Excel. Learn more: https://go.microsoft.com/fwlink/?linkid=870924
Comment:
    Do not change the password as it format specific</t>
      </text>
    </comment>
    <comment ref="E3" authorId="5" shapeId="0" xr:uid="{357EFE4B-F271-408D-A574-A1064D7BA878}">
      <text>
        <t>[Threaded comment]
Your version of Excel allows you to read this threaded comment; however, any edits to it will get removed if the file is opened in a newer version of Excel. Learn more: https://go.microsoft.com/fwlink/?linkid=870924
Comment:
    Do not change the password as it format specific</t>
      </text>
    </comment>
    <comment ref="F3" authorId="6" shapeId="0" xr:uid="{4302CDCD-EDC6-42F4-8676-676A6766EB74}">
      <text>
        <t>[Threaded comment]
Your version of Excel allows you to read this threaded comment; however, any edits to it will get removed if the file is opened in a newer version of Excel. Learn more: https://go.microsoft.com/fwlink/?linkid=870924
Comment:
    Do not change the password as it format specific</t>
      </text>
    </comment>
    <comment ref="G3" authorId="7" shapeId="0" xr:uid="{7F99DAEB-BB01-4F64-92A6-BA3CB86207F5}">
      <text>
        <t>[Threaded comment]
Your version of Excel allows you to read this threaded comment; however, any edits to it will get removed if the file is opened in a newer version of Excel. Learn more: https://go.microsoft.com/fwlink/?linkid=870924
Comment:
    Give the same username as in Rowno.4</t>
      </text>
    </comment>
    <comment ref="G4" authorId="8" shapeId="0" xr:uid="{29772D99-23D5-4E21-9402-6D86F33A0A87}">
      <text>
        <t>[Threaded comment]
Your version of Excel allows you to read this threaded comment; however, any edits to it will get removed if the file is opened in a newer version of Excel. Learn more: https://go.microsoft.com/fwlink/?linkid=870924
Comment:
    Give the same username as in Rowno.4</t>
      </text>
    </comment>
    <comment ref="I4" authorId="9" shapeId="0" xr:uid="{859A3364-2E22-40F6-BBAF-9B2AC95DD839}">
      <text>
        <t>[Threaded comment]
Your version of Excel allows you to read this threaded comment; however, any edits to it will get removed if the file is opened in a newer version of Excel. Learn more: https://go.microsoft.com/fwlink/?linkid=870924
Comment:
    Enter a email needed during creating User</t>
      </text>
    </comment>
    <comment ref="D5" authorId="10" shapeId="0" xr:uid="{FC2FF899-E8B2-4389-9F5A-0B0B1D83B3F6}">
      <text>
        <t>[Threaded comment]
Your version of Excel allows you to read this threaded comment; however, any edits to it will get removed if the file is opened in a newer version of Excel. Learn more: https://go.microsoft.com/fwlink/?linkid=870924
Comment:
    Do not change the password as it format specific</t>
      </text>
    </comment>
    <comment ref="G5" authorId="11" shapeId="0" xr:uid="{31AAC412-823D-4DBE-8863-197DEF0BD114}">
      <text>
        <t>[Threaded comment]
Your version of Excel allows you to read this threaded comment; however, any edits to it will get removed if the file is opened in a newer version of Excel. Learn more: https://go.microsoft.com/fwlink/?linkid=870924
Comment:
    Give the same username as in Rowno.4</t>
      </text>
    </comment>
    <comment ref="D6" authorId="12" shapeId="0" xr:uid="{844C49F3-4741-41DD-8F76-208A08E75885}">
      <text>
        <t>[Threaded comment]
Your version of Excel allows you to read this threaded comment; however, any edits to it will get removed if the file is opened in a newer version of Excel. Learn more: https://go.microsoft.com/fwlink/?linkid=870924
Comment:
    Do not change the password as it format specific</t>
      </text>
    </comment>
    <comment ref="G6" authorId="13" shapeId="0" xr:uid="{614F31D9-A9ED-4D76-8F79-45B3AC01EFB4}">
      <text>
        <t>[Threaded comment]
Your version of Excel allows you to read this threaded comment; however, any edits to it will get removed if the file is opened in a newer version of Excel. Learn more: https://go.microsoft.com/fwlink/?linkid=870924
Comment:
    Give the same username as in Rowno.4</t>
      </text>
    </comment>
    <comment ref="J7" authorId="14" shapeId="0" xr:uid="{E7EE64AE-00B7-4776-B0FE-96198769C25B}">
      <text>
        <t>[Threaded comment]
Your version of Excel allows you to read this threaded comment; however, any edits to it will get removed if the file is opened in a newer version of Excel. Learn more: https://go.microsoft.com/fwlink/?linkid=870924
Comment:
    Enter nodename to modify a target Group</t>
      </text>
    </comment>
    <comment ref="J8" authorId="15" shapeId="0" xr:uid="{3129E7B4-2270-4220-A020-F276E69372B8}">
      <text>
        <t>[Threaded comment]
Your version of Excel allows you to read this threaded comment; however, any edits to it will get removed if the file is opened in a newer version of Excel. Learn more: https://go.microsoft.com/fwlink/?linkid=870924
Comment:
    Enter nodename to create a save search</t>
      </text>
    </comment>
    <comment ref="J9" authorId="16" shapeId="0" xr:uid="{CD62327B-839D-47BA-BC07-B9E0DDB9F4A3}">
      <text>
        <t>[Threaded comment]
Your version of Excel allows you to read this threaded comment; however, any edits to it will get removed if the file is opened in a newer version of Excel. Learn more: https://go.microsoft.com/fwlink/?linkid=870924
Comment:
    Give a role-name to create a role</t>
      </text>
    </comment>
    <comment ref="J10" authorId="17" shapeId="0" xr:uid="{056E2D56-3CAC-48FA-8806-731D2F34051B}">
      <text>
        <t>[Threaded comment]
Your version of Excel allows you to read this threaded comment; however, any edits to it will get removed if the file is opened in a newer version of Excel. Learn more: https://go.microsoft.com/fwlink/?linkid=870924
Comment:
    Give the same rolename as in Rowno.9</t>
      </text>
    </comment>
    <comment ref="G11" authorId="18" shapeId="0" xr:uid="{F4935270-745A-4DBF-AF3C-302129DA6E29}">
      <text>
        <t>[Threaded comment]
Your version of Excel allows you to read this threaded comment; however, any edits to it will get removed if the file is opened in a newer version of Excel. Learn more: https://go.microsoft.com/fwlink/?linkid=870924
Comment:
    Give the same username as in Rowno.4</t>
      </text>
    </comment>
    <comment ref="G12" authorId="19" shapeId="0" xr:uid="{A5A74EA7-5585-41D2-BA04-2DB3897C6F8B}">
      <text>
        <t>[Threaded comment]
Your version of Excel allows you to read this threaded comment; however, any edits to it will get removed if the file is opened in a newer version of Excel. Learn more: https://go.microsoft.com/fwlink/?linkid=870924
Comment:
    Give the same username as in Rowno.4</t>
      </text>
    </comment>
    <comment ref="J13" authorId="20" shapeId="0" xr:uid="{C616CEF5-41E0-4352-9C79-9AE757499ED0}">
      <text>
        <t>[Threaded comment]
Your version of Excel allows you to read this threaded comment; however, any edits to it will get removed if the file is opened in a newer version of Excel. Learn more: https://go.microsoft.com/fwlink/?linkid=870924
Comment:
    Give the same username as in Rowno.9</t>
      </text>
    </comment>
    <comment ref="G14" authorId="21" shapeId="0" xr:uid="{88116744-1623-41A4-B08D-292137F940B4}">
      <text>
        <t>[Threaded comment]
Your version of Excel allows you to read this threaded comment; however, any edits to it will get removed if the file is opened in a newer version of Excel. Learn more: https://go.microsoft.com/fwlink/?linkid=870924
Comment:
    Give the same username as in Rowno.4</t>
      </text>
    </comment>
    <comment ref="I14" authorId="22" shapeId="0" xr:uid="{75AAAA27-2BFB-4745-926D-E904B8C35C56}">
      <text>
        <t>[Threaded comment]
Your version of Excel allows you to read this threaded comment; however, any edits to it will get removed if the file is opened in a newer version of Excel. Learn more: https://go.microsoft.com/fwlink/?linkid=870924
Comment:
    Enter a email for editing user</t>
      </text>
    </comment>
    <comment ref="J14" authorId="23" shapeId="0" xr:uid="{5359399F-634A-4A97-B482-B828B26B4E20}">
      <text>
        <t>[Threaded comment]
Your version of Excel allows you to read this threaded comment; however, any edits to it will get removed if the file is opened in a newer version of Excel. Learn more: https://go.microsoft.com/fwlink/?linkid=870924
Comment:
    Enter any desciption for user</t>
      </text>
    </comment>
    <comment ref="H15" authorId="24" shapeId="0" xr:uid="{0CD70928-260D-4E94-9003-A9C93136EA50}">
      <text>
        <t>[Threaded comment]
Your version of Excel allows you to read this threaded comment; however, any edits to it will get removed if the file is opened in a newer version of Excel. Learn more: https://go.microsoft.com/fwlink/?linkid=870924
Comment:
    Give the same username as in Rowno.4</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tc={D5726B7A-768E-4B03-90CB-9A5F07772DE7}</author>
  </authors>
  <commentList>
    <comment ref="C2" authorId="0" shapeId="0" xr:uid="{D5726B7A-768E-4B03-90CB-9A5F07772DE7}">
      <text>
        <t>[Threaded comment]
Your version of Excel allows you to read this threaded comment; however, any edits to it will get removed if the file is opened in a newer version of Excel. Learn more: https://go.microsoft.com/fwlink/?linkid=870924
Comment:
    Profile name for parameter</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tc={EB4F2968-5B5D-4E10-A3F3-223B3D3325D9}</author>
    <author>tc={B9C41ED4-21EB-421D-844A-DF276122D621}</author>
    <author>tc={4294B05D-E81A-4122-B822-954A11D389F8}</author>
    <author>tc={068D8A10-82B6-47A9-AEC8-C016A6C34DA0}</author>
    <author>tc={1474D761-D030-4D65-8167-C55D7B2BB0CA}</author>
    <author>tc={EA656300-4FF9-493C-A13E-D5D3FEFD47FB}</author>
    <author>tc={857FEBAB-EBFC-4559-B8DF-8E190562522F}</author>
    <author>tc={D17638FB-27D7-4278-B403-88B498C186C2}</author>
    <author>tc={2DD675FD-E18D-4F28-A557-ABE947791849}</author>
    <author>tc={20C40D21-4BC2-4243-94BA-97DF74A26933}</author>
    <author>tc={21DA252C-6876-4728-82FE-D4B5DEE84D3E}</author>
    <author>tc={C48C3129-8B13-47DD-BD38-E15537321779}</author>
    <author>tc={47108688-E185-42F0-B076-1EB75B8C8FA2}</author>
    <author>tc={02A3D1F5-6C57-4F63-AF6E-A5DD2023B05E}</author>
  </authors>
  <commentList>
    <comment ref="C2" authorId="0" shapeId="0" xr:uid="{EB4F2968-5B5D-4E10-A3F3-223B3D3325D9}">
      <text>
        <t>[Threaded comment]
Your version of Excel allows you to read this threaded comment; however, any edits to it will get removed if the file is opened in a newer version of Excel. Learn more: https://go.microsoft.com/fwlink/?linkid=870924
Comment:
    Enter a nodename you want to create</t>
      </text>
    </comment>
    <comment ref="D2" authorId="1" shapeId="0" xr:uid="{B9C41ED4-21EB-421D-844A-DF276122D621}">
      <text>
        <t>[Threaded comment]
Your version of Excel allows you to read this threaded comment; however, any edits to it will get removed if the file is opened in a newer version of Excel. Learn more: https://go.microsoft.com/fwlink/?linkid=870924
Comment:
    NE type based on Node</t>
      </text>
    </comment>
    <comment ref="E2" authorId="2" shapeId="0" xr:uid="{4294B05D-E81A-4122-B822-954A11D389F8}">
      <text>
        <t>[Threaded comment]
Your version of Excel allows you to read this threaded comment; however, any edits to it will get removed if the file is opened in a newer version of Excel. Learn more: https://go.microsoft.com/fwlink/?linkid=870924
Comment:
    Platfromtype based on Node</t>
      </text>
    </comment>
    <comment ref="F2" authorId="3" shapeId="0" xr:uid="{068D8A10-82B6-47A9-AEC8-C016A6C34DA0}">
      <text>
        <t>[Threaded comment]
Your version of Excel allows you to read this threaded comment; however, any edits to it will get removed if the file is opened in a newer version of Excel. Learn more: https://go.microsoft.com/fwlink/?linkid=870924
Comment:
    Prefix based on Node</t>
      </text>
    </comment>
    <comment ref="G2" authorId="4" shapeId="0" xr:uid="{1474D761-D030-4D65-8167-C55D7B2BB0CA}">
      <text>
        <t>[Threaded comment]
Your version of Excel allows you to read this threaded comment; however, any edits to it will get removed if the file is opened in a newer version of Excel. Learn more: https://go.microsoft.com/fwlink/?linkid=870924
Comment:
    Namespace based on Node</t>
      </text>
    </comment>
    <comment ref="H2" authorId="5" shapeId="0" xr:uid="{EA656300-4FF9-493C-A13E-D5D3FEFD47FB}">
      <text>
        <t>[Threaded comment]
Your version of Excel allows you to read this threaded comment; however, any edits to it will get removed if the file is opened in a newer version of Excel. Learn more: https://go.microsoft.com/fwlink/?linkid=870924
Comment:
    Node Version based on Node</t>
      </text>
    </comment>
    <comment ref="I2" authorId="6" shapeId="0" xr:uid="{857FEBAB-EBFC-4559-B8DF-8E190562522F}">
      <text>
        <t>[Threaded comment]
Your version of Excel allows you to read this threaded comment; however, any edits to it will get removed if the file is opened in a newer version of Excel. Learn more: https://go.microsoft.com/fwlink/?linkid=870924
Comment:
    Connectivity-Info based on Node</t>
      </text>
    </comment>
    <comment ref="J2" authorId="7" shapeId="0" xr:uid="{D17638FB-27D7-4278-B403-88B498C186C2}">
      <text>
        <t>[Threaded comment]
Your version of Excel allows you to read this threaded comment; however, any edits to it will get removed if the file is opened in a newer version of Excel. Learn more: https://go.microsoft.com/fwlink/?linkid=870924
Comment:
    IP of Node</t>
      </text>
    </comment>
    <comment ref="K2" authorId="8" shapeId="0" xr:uid="{2DD675FD-E18D-4F28-A557-ABE947791849}">
      <text>
        <t>[Threaded comment]
Your version of Excel allows you to read this threaded comment; however, any edits to it will get removed if the file is opened in a newer version of Excel. Learn more: https://go.microsoft.com/fwlink/?linkid=870924
Comment:
    Port of Node</t>
      </text>
    </comment>
    <comment ref="L2" authorId="9" shapeId="0" xr:uid="{20C40D21-4BC2-4243-94BA-97DF74A26933}">
      <text>
        <t>[Threaded comment]
Your version of Excel allows you to read this threaded comment; however, any edits to it will get removed if the file is opened in a newer version of Excel. Learn more: https://go.microsoft.com/fwlink/?linkid=870924
Comment:
    Namespace based on Node</t>
      </text>
    </comment>
    <comment ref="M2" authorId="10" shapeId="0" xr:uid="{21DA252C-6876-4728-82FE-D4B5DEE84D3E}">
      <text>
        <t>[Threaded comment]
Your version of Excel allows you to read this threaded comment; however, any edits to it will get removed if the file is opened in a newer version of Excel. Learn more: https://go.microsoft.com/fwlink/?linkid=870924
Comment:
    Version based on Node</t>
      </text>
    </comment>
    <comment ref="C3" authorId="11" shapeId="0" xr:uid="{C48C3129-8B13-47DD-BD38-E15537321779}">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D3" authorId="12" shapeId="0" xr:uid="{47108688-E185-42F0-B076-1EB75B8C8FA2}">
      <text>
        <t>[Threaded comment]
Your version of Excel allows you to read this threaded comment; however, any edits to it will get removed if the file is opened in a newer version of Excel. Learn more: https://go.microsoft.com/fwlink/?linkid=870924
Comment:
    NE type based on Node</t>
      </text>
    </comment>
    <comment ref="C4" authorId="13" shapeId="0" xr:uid="{02A3D1F5-6C57-4F63-AF6E-A5DD2023B05E}">
      <text>
        <t>[Threaded comment]
Your version of Excel allows you to read this threaded comment; however, any edits to it will get removed if the file is opened in a newer version of Excel. Learn more: https://go.microsoft.com/fwlink/?linkid=870924
Comment:
    Enter nodename you want to delete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tc={B275FACB-C036-48FC-9A7D-924B336D877C}</author>
    <author>tc={6F68031C-5BF3-470F-A21B-71AACB9D2E6B}</author>
    <author>tc={F0702600-7DE6-4F83-A898-ED60193B5D7D}</author>
    <author>tc={E0807F92-9B66-4D9E-9CCE-62A6A6A506BB}</author>
    <author>tc={59CF29CC-3E53-4CE5-BBC0-0B4A414704ED}</author>
    <author>tc={21F380D0-429F-4082-AAE3-153A9D92E9E8}</author>
    <author>tc={26ADEE01-E58A-46E9-ABB0-10F6ECE1CC09}</author>
    <author>tc={F2F90562-08DC-4346-A15A-512577700CBD}</author>
    <author>tc={D46C95A6-9616-440A-A08F-9DBBDE97CC3A}</author>
    <author>tc={9E38CC58-A185-4065-A08F-AB82EF2C202E}</author>
    <author>tc={A78D1B6F-3A59-401A-AC83-B8BAB75F6B5F}</author>
    <author>tc={979F8F3F-10A2-412D-9F3B-85C8EB24C14B}</author>
    <author>tc={00A68AA0-90DC-42FD-8A66-F5F52B2F307F}</author>
    <author>tc={892DE6BB-3395-4BF8-94EC-BDE617834B6E}</author>
    <author>tc={4212BFF7-DC32-4AA6-9EA5-4A8CD3E5D551}</author>
    <author>tc={E58098D9-FDF9-441B-9E26-6CB5B14E0C68}</author>
    <author>tc={3B8DF40C-DEF8-4F4E-87E3-9534B06F0F49}</author>
    <author>tc={112F8196-98C7-472C-9D60-DFFCAC46B7A1}</author>
    <author>tc={686EEAEC-994B-4CFD-9CA0-C784F83140D5}</author>
    <author>tc={3980946A-FAA6-4695-89F0-0F596BC18283}</author>
    <author>tc={983B6407-51DB-42EC-BFE3-26F0FD43416A}</author>
    <author>tc={9CE3F3EC-C5B3-417F-BA3F-ECC74D976FC6}</author>
    <author>tc={6BBDE987-3DB8-492D-B9E1-404508D4F4EF}</author>
    <author>tc={508E4431-380C-439F-936D-FA6BD83F108C}</author>
    <author>tc={E7572FC2-B7FC-4945-B426-E262428FADC9}</author>
    <author>tc={DFE2682B-F940-4AA2-BDE9-321FBA3C3C1D}</author>
    <author>tc={CC9A1350-120A-4FA2-B9CB-63D53D48B6E8}</author>
    <author>tc={F71936AB-18AB-4415-979A-5C978B33A314}</author>
    <author>tc={04A7819E-283C-4FD5-8912-575258B5FC45}</author>
    <author>tc={5CBBF954-B76D-49FA-ABAA-9504956F6D21}</author>
    <author>tc={83BBC743-D085-4967-8F70-6EAE56A1C278}</author>
    <author>tc={EBF7611A-4BB6-47BE-AC70-8E8D729693DF}</author>
    <author>tc={2ADC3BC4-9648-4754-A884-B7A9892FDB51}</author>
    <author>tc={722E83AF-D72A-44E4-83C1-7C68C290AA77}</author>
    <author>tc={BB89258A-6037-4688-A7B1-69FC212057A2}</author>
    <author>tc={D1561C24-1BBF-4FC3-B7E4-91201AA2ADF9}</author>
    <author>tc={CF081396-B895-4D5A-94FC-2C23B6D2E3FE}</author>
    <author>tc={03ADEE74-DECA-4385-8D29-66788185EF30}</author>
    <author>tc={6E6120F5-A3C7-4B3C-9F0D-3C04B1A7C060}</author>
    <author>tc={50D8DE47-DCD2-42B1-A45C-99DE7BEE2CB1}</author>
    <author>tc={F374221A-5693-4FDD-9A0E-11C831D27AD2}</author>
    <author>tc={E76B754C-7FE4-415D-82F7-57B39F28FDB2}</author>
    <author>tc={67546C6F-89AD-4D36-B64C-0C4E622864B3}</author>
    <author>tc={6BCA10B3-95D9-4308-834E-DF97354619A5}</author>
    <author>tc={5904F421-8E9B-4FD0-BDDB-C9F5BA00277A}</author>
    <author>tc={4DDBAF4E-5419-44C6-B859-D28CF9BB52B5}</author>
    <author>tc={64A6C2A9-79AA-40E8-80E3-D3B43C432898}</author>
    <author>tc={8D2200DA-64D8-4D0C-975F-521EE42E658C}</author>
    <author>tc={2AE3B41B-88EC-49AE-9D55-48B6D4E02B9C}</author>
    <author>tc={8D36A785-3419-4ECB-882A-E048EA7A97CA}</author>
    <author>tc={1DBD756A-C99F-4342-BE0B-E0586AB0CA16}</author>
    <author>tc={36272CF2-3DF8-483C-B50E-209713055ACF}</author>
    <author>tc={9808FF8E-9D94-4120-A561-9158C3F2A23D}</author>
    <author>tc={98BD1E34-48AB-43D2-AF27-E4D416FEFECE}</author>
    <author>tc={FEFCCDCA-E8DC-4337-95F8-E834CACC78BB}</author>
    <author>tc={0D97034B-ECD2-4BE2-8418-B4D836120628}</author>
    <author>tc={C7250246-FFA4-4B93-94F2-5C0A3DFEA5ED}</author>
    <author>tc={4CB59898-4CF3-42B2-86C3-521FAF595A9D}</author>
    <author>tc={E363B30F-33A2-442E-A6F7-DB5BF2C365AC}</author>
    <author>tc={AC27A3DD-5FED-47FC-98A3-6EB78DBDE8EF}</author>
    <author>tc={28E56CD6-FE84-425C-BDE1-CC3E6AFC9E4C}</author>
    <author>tc={CA90A00D-E40A-4DD2-8061-DCC7D9C0D3AE}</author>
    <author>tc={49EEEA9A-A327-49FC-9B38-D3D9A6F2EB51}</author>
    <author>tc={554BC3FD-917B-4593-A741-4080A5E44BE6}</author>
    <author>tc={5BBD651D-7CF9-42F2-9E90-5440B9EB573E}</author>
    <author>tc={51722327-E90F-4FAC-B617-4D0126C59D2B}</author>
    <author>tc={A875CEF1-4D97-48D4-A3A9-CA12B8B46587}</author>
    <author>tc={296F3B63-59FE-43A8-A514-99D43884FC8C}</author>
    <author>tc={93CF8EBA-31CA-4A89-8593-67C02AB310AE}</author>
    <author>tc={5815FF19-6B36-427C-96E7-620197443CA2}</author>
    <author>tc={F041C837-10FA-4454-A88B-BA112E1B8E57}</author>
    <author>tc={094C55E0-73FD-4E18-BEEB-087CF7076FB0}</author>
    <author>tc={3DD91ED8-4BC8-44D6-A381-B14D95F5F88E}</author>
    <author>tc={CE1BC230-78FA-4425-B861-8D318445992B}</author>
    <author>tc={00DDAD3B-85D2-4081-8EB4-B1F8B6ED59BC}</author>
    <author>tc={31A9DD0C-4FCB-4E7F-BA3E-B9C8D87BD10E}</author>
    <author>tc={CD80A5E2-870F-4162-BC38-0C4F6D465EB3}</author>
    <author>tc={BDC5A07A-C191-4579-A72B-83B1F8DF1BEC}</author>
    <author>tc={C590FBBF-72C3-47F4-A46E-14D2E7C98448}</author>
    <author>tc={A7AD69DE-A164-4695-9EA0-5215D65C016B}</author>
    <author>tc={69000818-DA7E-4C66-8CB3-C9FA49DEB636}</author>
    <author>tc={43A565C6-038C-4A68-AEAC-53CA1FA15ECE}</author>
    <author>tc={A173C219-15B9-4B95-BA76-234A9564703B}</author>
    <author>tc={73B7E45E-B1B9-49EA-8DCA-DD8D721AC7F0}</author>
    <author>tc={BEF099ED-8EFA-4929-8B71-020AF7F53F74}</author>
    <author>tc={DD847BBD-12F4-4011-97BC-5B237A181501}</author>
    <author>tc={F252D624-C77D-4DF6-992F-C30BA519753A}</author>
    <author>tc={18869D62-6BA5-4A09-8F73-D524B496C080}</author>
    <author>tc={35EB3F00-EAFD-49D1-9200-EB2A8A092B58}</author>
    <author>tc={4D9ECE90-04AE-4811-83AD-715C78803124}</author>
    <author>tc={42C2696D-C497-4090-8CBF-FD71E3AC909A}</author>
    <author>tc={5D91A22E-66A6-4498-BACC-2C30084FB8F5}</author>
    <author>tc={85A7ABFA-7AC7-4FF6-A3FD-2A0562256173}</author>
    <author>tc={5BD3748C-933F-42D6-8D1C-DD56B791E5CF}</author>
    <author>tc={C25D3E3E-F1B1-4053-A27D-6F8689531F62}</author>
    <author>tc={174C079F-626F-4290-9926-433094CA6C00}</author>
    <author>tc={C4E11F3C-7EA7-41B7-9518-70C2A6956755}</author>
    <author>tc={0052AD33-4404-4822-9690-B0B79C5B8C7C}</author>
    <author>tc={EA68542A-6218-4B77-A46E-BA1CDD98C800}</author>
    <author>tc={898D9456-AA9E-48A9-A912-9D028582B1CA}</author>
    <author>tc={1D2F7776-2F01-4A66-9A64-BEBD3B3518B5}</author>
    <author>tc={CF71BBA8-1D91-4D94-A9F7-425262097859}</author>
    <author>tc={A1D9C83A-1372-4839-B9D5-DD2A20A49359}</author>
    <author>tc={3B412F3F-91D4-4E65-B495-B070A077C2B6}</author>
    <author>tc={70AEFFAA-768F-4E52-B1BA-75F08E3D6FE0}</author>
    <author>tc={90D5EC74-49C0-4BF4-85CE-9D9BBBDFF17F}</author>
    <author>tc={95790A1B-54FA-4091-80C5-2E1C3764B2E5}</author>
    <author>tc={072600F3-FD1E-4B9C-BF18-32A4943884BA}</author>
    <author>tc={6C748406-1B1A-4042-BFB2-FBFB438B8EAB}</author>
    <author>tc={713E53F0-CD88-4B0C-8D85-07AEFF8548E6}</author>
    <author>tc={608FC8DE-3CB1-49C3-A61E-73346BD58197}</author>
    <author>tc={6953685B-58F8-4586-959D-D59976198DC6}</author>
    <author>tc={961B88BC-E160-4228-A396-1FE12B49D5F0}</author>
    <author>tc={8B049271-996E-4E93-8FB8-C334C22438B8}</author>
    <author>tc={92E6B6CF-9B31-4474-A78E-C5624899CC71}</author>
    <author>tc={F0067EE4-2AB3-4D70-917C-A5B42E1C7747}</author>
    <author>tc={3BFBF4A9-70C1-404C-8BE0-E6087254AC84}</author>
    <author>tc={BC7C5083-9553-4D48-8D04-9DC58DEE0022}</author>
    <author>tc={B022BBA5-A4B0-43AA-904D-44F0AC9C950A}</author>
    <author>tc={077D3D5B-120C-4C5C-9CCB-F21C267ADD69}</author>
    <author>tc={4E2564B9-5EF4-45B0-8847-1795AA6BE557}</author>
    <author>tc={ABF1CADB-2DF3-41E9-A783-2251BC29ED42}</author>
    <author>tc={A367A7F0-9754-4275-AA80-BC6D6EED7AA7}</author>
    <author>tc={DAAECE26-59A9-4990-A462-A3DD59E35740}</author>
    <author>tc={F055EC0A-AC5D-435C-85BA-3B61055B8BB6}</author>
  </authors>
  <commentList>
    <comment ref="C2" authorId="0" shapeId="0" xr:uid="{B275FACB-C036-48FC-9A7D-924B336D877C}">
      <text>
        <t>[Threaded comment]
Your version of Excel allows you to read this threaded comment; however, any edits to it will get removed if the file is opened in a newer version of Excel. Learn more: https://go.microsoft.com/fwlink/?linkid=870924
Comment:
    Use nodename other than used in 3.3.1</t>
      </text>
    </comment>
    <comment ref="D2" authorId="1" shapeId="0" xr:uid="{6F68031C-5BF3-470F-A21B-71AACB9D2E6B}">
      <text>
        <t>[Threaded comment]
Your version of Excel allows you to read this threaded comment; however, any edits to it will get removed if the file is opened in a newer version of Excel. Learn more: https://go.microsoft.com/fwlink/?linkid=870924
Comment:
    Enter a Subscription name to create a Statistical subcription</t>
      </text>
    </comment>
    <comment ref="F2" authorId="2" shapeId="0" xr:uid="{F0702600-7DE6-4F83-A898-ED60193B5D7D}">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G2" authorId="3" shapeId="0" xr:uid="{E0807F92-9B66-4D9E-9CCE-62A6A6A506BB}">
      <text>
        <t>[Threaded comment]
Your version of Excel allows you to read this threaded comment; however, any edits to it will get removed if the file is opened in a newer version of Excel. Learn more: https://go.microsoft.com/fwlink/?linkid=870924
Comment:
    Give counter based on node for statistical subsription</t>
      </text>
    </comment>
    <comment ref="D3" authorId="4" shapeId="0" xr:uid="{59CF29CC-3E53-4CE5-BBC0-0B4A414704ED}">
      <text>
        <t>[Threaded comment]
Your version of Excel allows you to read this threaded comment; however, any edits to it will get removed if the file is opened in a newer version of Excel. Learn more: https://go.microsoft.com/fwlink/?linkid=870924
Comment:
    Enter a Subscription name to create a Statistical subcription</t>
      </text>
    </comment>
    <comment ref="F3" authorId="5" shapeId="0" xr:uid="{21F380D0-429F-4082-AAE3-153A9D92E9E8}">
      <text>
        <t>[Threaded comment]
Your version of Excel allows you to read this threaded comment; however, any edits to it will get removed if the file is opened in a newer version of Excel. Learn more: https://go.microsoft.com/fwlink/?linkid=870924
Comment:
    Enter a counter based on node to add on statistical subscription</t>
      </text>
    </comment>
    <comment ref="G3" authorId="6" shapeId="0" xr:uid="{26ADEE01-E58A-46E9-ABB0-10F6ECE1CC09}">
      <text>
        <t>[Threaded comment]
Your version of Excel allows you to read this threaded comment; however, any edits to it will get removed if the file is opened in a newer version of Excel. Learn more: https://go.microsoft.com/fwlink/?linkid=870924
Comment:
    Enter a counter based on node to add on statistical subscription</t>
      </text>
    </comment>
    <comment ref="D4" authorId="7" shapeId="0" xr:uid="{F2F90562-08DC-4346-A15A-512577700CBD}">
      <text>
        <t>[Threaded comment]
Your version of Excel allows you to read this threaded comment; however, any edits to it will get removed if the file is opened in a newer version of Excel. Learn more: https://go.microsoft.com/fwlink/?linkid=870924
Comment:
    Enter a Subscription name to create a Statistical subcription</t>
      </text>
    </comment>
    <comment ref="D5" authorId="8" shapeId="0" xr:uid="{D46C95A6-9616-440A-A08F-9DBBDE97CC3A}">
      <text>
        <t>[Threaded comment]
Your version of Excel allows you to read this threaded comment; however, any edits to it will get removed if the file is opened in a newer version of Excel. Learn more: https://go.microsoft.com/fwlink/?linkid=870924
Comment:
    Enter a Subscription name to create a Statistical subcription</t>
      </text>
    </comment>
    <comment ref="E5" authorId="9" shapeId="0" xr:uid="{9E38CC58-A185-4065-A08F-AB82EF2C202E}">
      <text>
        <t>[Threaded comment]
Your version of Excel allows you to read this threaded comment; however, any edits to it will get removed if the file is opened in a newer version of Excel. Learn more: https://go.microsoft.com/fwlink/?linkid=870924
Comment:
    Enter duplicate name - 
{subscription_name}+_Duplicate</t>
      </text>
    </comment>
    <comment ref="F5" authorId="10" shapeId="0" xr:uid="{A78D1B6F-3A59-401A-AC83-B8BAB75F6B5F}">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D6" authorId="11" shapeId="0" xr:uid="{979F8F3F-10A2-412D-9F3B-85C8EB24C14B}">
      <text>
        <t>[Threaded comment]
Your version of Excel allows you to read this threaded comment; however, any edits to it will get removed if the file is opened in a newer version of Excel. Learn more: https://go.microsoft.com/fwlink/?linkid=870924
Comment:
    Enter a Subscription name to create a Statistical subcription</t>
      </text>
    </comment>
    <comment ref="C7" authorId="12" shapeId="0" xr:uid="{00A68AA0-90DC-42FD-8A66-F5F52B2F307F}">
      <text>
        <t>[Threaded comment]
Your version of Excel allows you to read this threaded comment; however, any edits to it will get removed if the file is opened in a newer version of Excel. Learn more: https://go.microsoft.com/fwlink/?linkid=870924
Comment:
    Use nodename other than used in 3.3.1</t>
      </text>
    </comment>
    <comment ref="D7" authorId="13" shapeId="0" xr:uid="{892DE6BB-3395-4BF8-94EC-BDE617834B6E}">
      <text>
        <t>[Threaded comment]
Your version of Excel allows you to read this threaded comment; however, any edits to it will get removed if the file is opened in a newer version of Excel. Learn more: https://go.microsoft.com/fwlink/?linkid=870924
Comment:
    Enter a subscription to create cell trace subscription</t>
      </text>
    </comment>
    <comment ref="F7" authorId="14" shapeId="0" xr:uid="{4212BFF7-DC32-4AA6-9EA5-4A8CD3E5D551}">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G7" authorId="15" shapeId="0" xr:uid="{E58098D9-FDF9-441B-9E26-6CB5B14E0C68}">
      <text>
        <t>[Threaded comment]
Your version of Excel allows you to read this threaded comment; however, any edits to it will get removed if the file is opened in a newer version of Excel. Learn more: https://go.microsoft.com/fwlink/?linkid=870924
Comment:
    Enter a Counter based on node for cell trace subscription</t>
      </text>
    </comment>
    <comment ref="C8" authorId="16" shapeId="0" xr:uid="{3B8DF40C-DEF8-4F4E-87E3-9534B06F0F49}">
      <text>
        <t>[Threaded comment]
Your version of Excel allows you to read this threaded comment; however, any edits to it will get removed if the file is opened in a newer version of Excel. Learn more: https://go.microsoft.com/fwlink/?linkid=870924
Comment:
    Use nodename other than used in 3.3.1</t>
      </text>
    </comment>
    <comment ref="D8" authorId="17" shapeId="0" xr:uid="{112F8196-98C7-472C-9D60-DFFCAC46B7A1}">
      <text>
        <t>[Threaded comment]
Your version of Excel allows you to read this threaded comment; however, any edits to it will get removed if the file is opened in a newer version of Excel. Learn more: https://go.microsoft.com/fwlink/?linkid=870924
Comment:
    Enter a subscription name for criteria statistical</t>
      </text>
    </comment>
    <comment ref="E8" authorId="18" shapeId="0" xr:uid="{686EEAEC-994B-4CFD-9CA0-C784F83140D5}">
      <text>
        <t>[Threaded comment]
Your version of Excel allows you to read this threaded comment; however, any edits to it will get removed if the file is opened in a newer version of Excel. Learn more: https://go.microsoft.com/fwlink/?linkid=870924
Comment:
    Give a Save-search name to add on a statistical subscription(criteria)</t>
      </text>
    </comment>
    <comment ref="F8" authorId="19" shapeId="0" xr:uid="{3980946A-FAA6-4695-89F0-0F596BC18283}">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G8" authorId="20" shapeId="0" xr:uid="{983B6407-51DB-42EC-BFE3-26F0FD43416A}">
      <text>
        <t>[Threaded comment]
Your version of Excel allows you to read this threaded comment; however, any edits to it will get removed if the file is opened in a newer version of Excel. Learn more: https://go.microsoft.com/fwlink/?linkid=870924
Comment:
    Enter a counter based on mme node to add on Statistical subcription(criteria)</t>
      </text>
    </comment>
    <comment ref="D9" authorId="21" shapeId="0" xr:uid="{9CE3F3EC-C5B3-417F-BA3F-ECC74D976FC6}">
      <text>
        <t>[Threaded comment]
Your version of Excel allows you to read this threaded comment; however, any edits to it will get removed if the file is opened in a newer version of Excel. Learn more: https://go.microsoft.com/fwlink/?linkid=870924
Comment:
    Enter a subscription name to create UE trace subscription</t>
      </text>
    </comment>
    <comment ref="E9" authorId="22" shapeId="0" xr:uid="{6BBDE987-3DB8-492D-B9E1-404508D4F4EF}">
      <text>
        <t>[Threaded comment]
Your version of Excel allows you to read this threaded comment; however, any edits to it will get removed if the file is opened in a newer version of Excel. Learn more: https://go.microsoft.com/fwlink/?linkid=870924
Comment:
    Enter a value for UE trace</t>
      </text>
    </comment>
    <comment ref="F9" authorId="23" shapeId="0" xr:uid="{508E4431-380C-439F-936D-FA6BD83F108C}">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D10" authorId="24" shapeId="0" xr:uid="{E7572FC2-B7FC-4945-B426-E262428FADC9}">
      <text>
        <t>[Threaded comment]
Your version of Excel allows you to read this threaded comment; however, any edits to it will get removed if the file is opened in a newer version of Excel. Learn more: https://go.microsoft.com/fwlink/?linkid=870924
Comment:
    Enter a subscription name to create UE trace subscription</t>
      </text>
    </comment>
    <comment ref="D11" authorId="25" shapeId="0" xr:uid="{DFE2682B-F940-4AA2-BDE9-321FBA3C3C1D}">
      <text>
        <t>[Threaded comment]
Your version of Excel allows you to read this threaded comment; however, any edits to it will get removed if the file is opened in a newer version of Excel. Learn more: https://go.microsoft.com/fwlink/?linkid=870924
Comment:
    Enter a subscription name to create UE trace subscription</t>
      </text>
    </comment>
    <comment ref="D12" authorId="26" shapeId="0" xr:uid="{CC9A1350-120A-4FA2-B9CB-63D53D48B6E8}">
      <text>
        <t>[Threaded comment]
Your version of Excel allows you to read this threaded comment; however, any edits to it will get removed if the file is opened in a newer version of Excel. Learn more: https://go.microsoft.com/fwlink/?linkid=870924
Comment:
    Enter a subscription name to create UE trace subscription</t>
      </text>
    </comment>
    <comment ref="E12" authorId="27" shapeId="0" xr:uid="{F71936AB-18AB-4415-979A-5C978B33A314}">
      <text>
        <t>[Threaded comment]
Your version of Excel allows you to read this threaded comment; however, any edits to it will get removed if the file is opened in a newer version of Excel. Learn more: https://go.microsoft.com/fwlink/?linkid=870924
Comment:
    Enter a description for active UE subscription</t>
      </text>
    </comment>
    <comment ref="D13" authorId="28" shapeId="0" xr:uid="{04A7819E-283C-4FD5-8912-575258B5FC45}">
      <text>
        <t>[Threaded comment]
Your version of Excel allows you to read this threaded comment; however, any edits to it will get removed if the file is opened in a newer version of Excel. Learn more: https://go.microsoft.com/fwlink/?linkid=870924
Comment:
    Enter a subscription name to create UE trace subscription</t>
      </text>
    </comment>
    <comment ref="E13" authorId="29" shapeId="0" xr:uid="{5CBBF954-B76D-49FA-ABAA-9504956F6D21}">
      <text>
        <t>[Threaded comment]
Your version of Excel allows you to read this threaded comment; however, any edits to it will get removed if the file is opened in a newer version of Excel. Learn more: https://go.microsoft.com/fwlink/?linkid=870924
Comment:
    Enter duplicate name - 
{subscription_name}+_Duplicate</t>
      </text>
    </comment>
    <comment ref="F13" authorId="30" shapeId="0" xr:uid="{83BBC743-D085-4967-8F70-6EAE56A1C278}">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D14" authorId="31" shapeId="0" xr:uid="{EBF7611A-4BB6-47BE-AC70-8E8D729693DF}">
      <text>
        <t>[Threaded comment]
Your version of Excel allows you to read this threaded comment; however, any edits to it will get removed if the file is opened in a newer version of Excel. Learn more: https://go.microsoft.com/fwlink/?linkid=870924
Comment:
    Enter a subscription name to create UE trace subscription</t>
      </text>
    </comment>
    <comment ref="C15" authorId="32" shapeId="0" xr:uid="{2ADC3BC4-9648-4754-A884-B7A9892FDB51}">
      <text>
        <t>[Threaded comment]
Your version of Excel allows you to read this threaded comment; however, any edits to it will get removed if the file is opened in a newer version of Excel. Learn more: https://go.microsoft.com/fwlink/?linkid=870924
Comment:
    Use nodename other than used in 3.3.1</t>
      </text>
    </comment>
    <comment ref="D15" authorId="33" shapeId="0" xr:uid="{722E83AF-D72A-44E4-83C1-7C68C290AA77}">
      <text>
        <t>[Threaded comment]
Your version of Excel allows you to read this threaded comment; however, any edits to it will get removed if the file is opened in a newer version of Excel. Learn more: https://go.microsoft.com/fwlink/?linkid=870924
Comment:
    Enter a Subscription name to create a Statistical subcription</t>
      </text>
    </comment>
    <comment ref="E15" authorId="34" shapeId="0" xr:uid="{BB89258A-6037-4688-A7B1-69FC212057A2}">
      <text>
        <t>[Threaded comment]
Your version of Excel allows you to read this threaded comment; however, any edits to it will get removed if the file is opened in a newer version of Excel. Learn more: https://go.microsoft.com/fwlink/?linkid=870924
Comment:
    Enter a description for active statistical subscription</t>
      </text>
    </comment>
    <comment ref="D16" authorId="35" shapeId="0" xr:uid="{D1561C24-1BBF-4FC3-B7E4-91201AA2ADF9}">
      <text>
        <t>[Threaded comment]
Your version of Excel allows you to read this threaded comment; however, any edits to it will get removed if the file is opened in a newer version of Excel. Learn more: https://go.microsoft.com/fwlink/?linkid=870924
Comment:
    Give a subscription name for which PM node process is available</t>
      </text>
    </comment>
    <comment ref="C17" authorId="36" shapeId="0" xr:uid="{CF081396-B895-4D5A-94FC-2C23B6D2E3FE}">
      <text>
        <t>[Threaded comment]
Your version of Excel allows you to read this threaded comment; however, any edits to it will get removed if the file is opened in a newer version of Excel. Learn more: https://go.microsoft.com/fwlink/?linkid=870924
Comment:
    Use nodename other than used in 3.3.1</t>
      </text>
    </comment>
    <comment ref="D17" authorId="37" shapeId="0" xr:uid="{03ADEE74-DECA-4385-8D29-66788185EF30}">
      <text>
        <t>[Threaded comment]
Your version of Excel allows you to read this threaded comment; however, any edits to it will get removed if the file is opened in a newer version of Excel. Learn more: https://go.microsoft.com/fwlink/?linkid=870924
Comment:
    Give a duplicate name for Duplicate counter check (statistical subscription)</t>
      </text>
    </comment>
    <comment ref="F17" authorId="38" shapeId="0" xr:uid="{6E6120F5-A3C7-4B3C-9F0D-3C04B1A7C060}">
      <text>
        <t>[Threaded comment]
Your version of Excel allows you to read this threaded comment; however, any edits to it will get removed if the file is opened in a newer version of Excel. Learn more: https://go.microsoft.com/fwlink/?linkid=870924
Comment:
    Enter a description for duplicate counter check</t>
      </text>
    </comment>
    <comment ref="G17" authorId="39" shapeId="0" xr:uid="{50D8DE47-DCD2-42B1-A45C-99DE7BEE2CB1}">
      <text>
        <t>[Threaded comment]
Your version of Excel allows you to read this threaded comment; however, any edits to it will get removed if the file is opened in a newer version of Excel. Learn more: https://go.microsoft.com/fwlink/?linkid=870924
Comment:
    Enter the counter name which is already used in some other active statistical subscription,for example use same counter used in- GUI-PM-00-3.3.3</t>
      </text>
    </comment>
    <comment ref="C18" authorId="40" shapeId="0" xr:uid="{F374221A-5693-4FDD-9A0E-11C831D27AD2}">
      <text>
        <t>[Threaded comment]
Your version of Excel allows you to read this threaded comment; however, any edits to it will get removed if the file is opened in a newer version of Excel. Learn more: https://go.microsoft.com/fwlink/?linkid=870924
Comment:
    Use nodename other than used in 3.3.1</t>
      </text>
    </comment>
    <comment ref="F18" authorId="41" shapeId="0" xr:uid="{E76B754C-7FE4-415D-82F7-57B39F28FDB2}">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C19" authorId="42" shapeId="0" xr:uid="{67546C6F-89AD-4D36-B64C-0C4E622864B3}">
      <text>
        <t>[Threaded comment]
Your version of Excel allows you to read this threaded comment; however, any edits to it will get removed if the file is opened in a newer version of Excel. Learn more: https://go.microsoft.com/fwlink/?linkid=870924
Comment:
    Use nodename other than used in 3.3.1</t>
      </text>
    </comment>
    <comment ref="F19" authorId="43" shapeId="0" xr:uid="{6BCA10B3-95D9-4308-834E-DF97354619A5}">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F20" authorId="44" shapeId="0" xr:uid="{5904F421-8E9B-4FD0-BDDB-C9F5BA00277A}">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C21" authorId="45" shapeId="0" xr:uid="{4DDBAF4E-5419-44C6-B859-D28CF9BB52B5}">
      <text>
        <t>[Threaded comment]
Your version of Excel allows you to read this threaded comment; however, any edits to it will get removed if the file is opened in a newer version of Excel. Learn more: https://go.microsoft.com/fwlink/?linkid=870924
Comment:
    Use nodename other than used in 3.3.1</t>
      </text>
    </comment>
    <comment ref="F21" authorId="46" shapeId="0" xr:uid="{64A6C2A9-79AA-40E8-80E3-D3B43C432898}">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F22" authorId="47" shapeId="0" xr:uid="{8D2200DA-64D8-4D0C-975F-521EE42E658C}">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C23" authorId="48" shapeId="0" xr:uid="{2AE3B41B-88EC-49AE-9D55-48B6D4E02B9C}">
      <text>
        <t>[Threaded comment]
Your version of Excel allows you to read this threaded comment; however, any edits to it will get removed if the file is opened in a newer version of Excel. Learn more: https://go.microsoft.com/fwlink/?linkid=870924
Comment:
    Use nodename other than used in 3.3.1</t>
      </text>
    </comment>
    <comment ref="F23" authorId="49" shapeId="0" xr:uid="{8D36A785-3419-4ECB-882A-E048EA7A97CA}">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C24" authorId="50" shapeId="0" xr:uid="{1DBD756A-C99F-4342-BE0B-E0586AB0CA16}">
      <text>
        <t>[Threaded comment]
Your version of Excel allows you to read this threaded comment; however, any edits to it will get removed if the file is opened in a newer version of Excel. Learn more: https://go.microsoft.com/fwlink/?linkid=870924
Comment:
    Use nodename other than used in 3.3.1</t>
      </text>
    </comment>
    <comment ref="C25" authorId="51" shapeId="0" xr:uid="{36272CF2-3DF8-483C-B50E-209713055ACF}">
      <text>
        <t>[Threaded comment]
Your version of Excel allows you to read this threaded comment; however, any edits to it will get removed if the file is opened in a newer version of Excel. Learn more: https://go.microsoft.com/fwlink/?linkid=870924
Comment:
    Use nodename other than used in 3.3.1</t>
      </text>
    </comment>
    <comment ref="F27" authorId="52" shapeId="0" xr:uid="{9808FF8E-9D94-4120-A561-9158C3F2A23D}">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C30" authorId="53" shapeId="0" xr:uid="{98BD1E34-48AB-43D2-AF27-E4D416FEFECE}">
      <text>
        <t>[Threaded comment]
Your version of Excel allows you to read this threaded comment; however, any edits to it will get removed if the file is opened in a newer version of Excel. Learn more: https://go.microsoft.com/fwlink/?linkid=870924
Comment:
    Use nodename other than used in 3.3.1</t>
      </text>
    </comment>
    <comment ref="F30" authorId="54" shapeId="0" xr:uid="{FEFCCDCA-E8DC-4337-95F8-E834CACC78BB}">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C31" authorId="55" shapeId="0" xr:uid="{0D97034B-ECD2-4BE2-8418-B4D836120628}">
      <text>
        <t>[Threaded comment]
Your version of Excel allows you to read this threaded comment; however, any edits to it will get removed if the file is opened in a newer version of Excel. Learn more: https://go.microsoft.com/fwlink/?linkid=870924
Comment:
    Use nodename other than used in 3.3.1</t>
      </text>
    </comment>
    <comment ref="C32" authorId="56" shapeId="0" xr:uid="{C7250246-FFA4-4B93-94F2-5C0A3DFEA5ED}">
      <text>
        <t>[Threaded comment]
Your version of Excel allows you to read this threaded comment; however, any edits to it will get removed if the file is opened in a newer version of Excel. Learn more: https://go.microsoft.com/fwlink/?linkid=870924
Comment:
    Use nodename other than used in 3.3.1</t>
      </text>
    </comment>
    <comment ref="D32" authorId="57" shapeId="0" xr:uid="{4CB59898-4CF3-42B2-86C3-521FAF595A9D}">
      <text>
        <t xml:space="preserve">[Threaded comment]
Your version of Excel allows you to read this threaded comment; however, any edits to it will get removed if the file is opened in a newer version of Excel. Learn more: https://go.microsoft.com/fwlink/?linkid=870924
Comment:
    Enter a Subscription which is in active state </t>
      </text>
    </comment>
    <comment ref="C33" authorId="58" shapeId="0" xr:uid="{E363B30F-33A2-442E-A6F7-DB5BF2C365AC}">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F33" authorId="59" shapeId="0" xr:uid="{AC27A3DD-5FED-47FC-98A3-6EB78DBDE8EF}">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I33" authorId="60" shapeId="0" xr:uid="{28E56CD6-FE84-425C-BDE1-CC3E6AFC9E4C}">
      <text>
        <t>[Threaded comment]
Your version of Excel allows you to read this threaded comment; however, any edits to it will get removed if the file is opened in a newer version of Excel. Learn more: https://go.microsoft.com/fwlink/?linkid=870924
Comment:
    Give counter based on node for statistical subsription</t>
      </text>
    </comment>
    <comment ref="C34" authorId="61" shapeId="0" xr:uid="{CA90A00D-E40A-4DD2-8061-DCC7D9C0D3AE}">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F34" authorId="62" shapeId="0" xr:uid="{49EEEA9A-A327-49FC-9B38-D3D9A6F2EB51}">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E35" authorId="63" shapeId="0" xr:uid="{554BC3FD-917B-4593-A741-4080A5E44BE6}">
      <text>
        <t>[Threaded comment]
Your version of Excel allows you to read this threaded comment; however, any edits to it will get removed if the file is opened in a newer version of Excel. Learn more: https://go.microsoft.com/fwlink/?linkid=870924
Comment:
    Enter duplicate name - 
{subscription_name}+_Duplicate</t>
      </text>
    </comment>
    <comment ref="F35" authorId="64" shapeId="0" xr:uid="{5BBD651D-7CF9-42F2-9E90-5440B9EB573E}">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C36" authorId="65" shapeId="0" xr:uid="{51722327-E90F-4FAC-B617-4D0126C59D2B}">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F36" authorId="66" shapeId="0" xr:uid="{A875CEF1-4D97-48D4-A3A9-CA12B8B46587}">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I36" authorId="67" shapeId="0" xr:uid="{296F3B63-59FE-43A8-A514-99D43884FC8C}">
      <text>
        <t>[Threaded comment]
Your version of Excel allows you to read this threaded comment; however, any edits to it will get removed if the file is opened in a newer version of Excel. Learn more: https://go.microsoft.com/fwlink/?linkid=870924
Comment:
    Give counter based on node for statistical subsription</t>
      </text>
    </comment>
    <comment ref="E38" authorId="68" shapeId="0" xr:uid="{93CF8EBA-31CA-4A89-8593-67C02AB310AE}">
      <text>
        <t>[Threaded comment]
Your version of Excel allows you to read this threaded comment; however, any edits to it will get removed if the file is opened in a newer version of Excel. Learn more: https://go.microsoft.com/fwlink/?linkid=870924
Comment:
    Enter duplicate name - 
{subscription_name}+_Duplicate</t>
      </text>
    </comment>
    <comment ref="F38" authorId="69" shapeId="0" xr:uid="{5815FF19-6B36-427C-96E7-620197443CA2}">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C40" authorId="70" shapeId="0" xr:uid="{F041C837-10FA-4454-A88B-BA112E1B8E57}">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F40" authorId="71" shapeId="0" xr:uid="{094C55E0-73FD-4E18-BEEB-087CF7076FB0}">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C41" authorId="72" shapeId="0" xr:uid="{3DD91ED8-4BC8-44D6-A381-B14D95F5F88E}">
      <text>
        <t>[Threaded comment]
Your version of Excel allows you to read this threaded comment; however, any edits to it will get removed if the file is opened in a newer version of Excel. Learn more: https://go.microsoft.com/fwlink/?linkid=870924
Comment:
    The Uplink Spectrum File Collection test cases are applicable for the following nodes only:
•	eNodeB DU Radio Node or eNodeB Baseband Radio Node with Next Generation Radio (NGR) G1/G2 Radio Unit (RU) supporting uplink spectrum analyzer (RRU2217B1 with product number KRC161490/2 R1B)
•	NodeB DU Radio Node or Node B Baseband Radio Node with Next Generation Radio (NGR) G1/G2 Radio Unit (RU) supporting uplink spectrum analyzer (RRU2217B1 with product number KRC161490/2 R1B)
Use the following command in the ENM Command Line Interface (CLI) to get the list of eNodeB Baseband RadioNodes and Node B Baseband RadioNodes equipped with at least 1 NGR G1/G2 Radio Unit:
cmedit get * fieldReplaceableUnit
Use the following command in the ENM Command Line Interface (CLI) to get the list of NodeB DU RadioNodes and eNodeB DU RadioNodes equipped with at least 1 NGR G1/G2 Radio Unit:
cmedit get * AuxPlugInUnit</t>
      </text>
    </comment>
    <comment ref="C42" authorId="73" shapeId="0" xr:uid="{CE1BC230-78FA-4425-B861-8D318445992B}">
      <text>
        <t>[Threaded comment]
Your version of Excel allows you to read this threaded comment; however, any edits to it will get removed if the file is opened in a newer version of Excel. Learn more: https://go.microsoft.com/fwlink/?linkid=870924
Comment:
    The Uplink Spectrum File Collection test cases are applicable for the following nodes only:
•	eNodeB DU Radio Node or eNodeB Baseband Radio Node with Next Generation Radio (NGR) G1/G2 Radio Unit (RU) supporting uplink spectrum analyzer (RRU2217B1 with product number KRC161490/2 R1B)
•	NodeB DU Radio Node or Node B Baseband Radio Node with Next Generation Radio (NGR) G1/G2 Radio Unit (RU) supporting uplink spectrum analyzer (RRU2217B1 with product number KRC161490/2 R1B)
Use the following command in the ENM Command Line Interface (CLI) to get the list of eNodeB Baseband RadioNodes and Node B Baseband RadioNodes equipped with at least 1 NGR G1/G2 Radio Unit:
cmedit get * fieldReplaceableUnit
Use the following command in the ENM Command Line Interface (CLI) to get the list of NodeB DU RadioNodes and eNodeB DU RadioNodes equipped with at least 1 NGR G1/G2 Radio Unit:
cmedit get * AuxPlugInUnit</t>
      </text>
    </comment>
    <comment ref="O42" authorId="74" shapeId="0" xr:uid="{00DDAD3B-85D2-4081-8EB4-B1F8B6ED59BC}">
      <text>
        <t>[Threaded comment]
Your version of Excel allows you to read this threaded comment; however, any edits to it will get removed if the file is opened in a newer version of Excel. Learn more: https://go.microsoft.com/fwlink/?linkid=870924
Comment:
    The center frequency of uplink spectrum (units: Khz). The value must be specified in range of parameters minFrequency and maxFrequency received as a return value from ‘ulsa capability’ command, that must be a non-zero positive number</t>
      </text>
    </comment>
    <comment ref="P42" authorId="75" shapeId="0" xr:uid="{31A9DD0C-4FCB-4E7F-BA3E-B9C8D87BD10E}">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Q42" authorId="76" shapeId="0" xr:uid="{CD80A5E2-870F-4162-BC38-0C4F6D465EB3}">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C43" authorId="77" shapeId="0" xr:uid="{BDC5A07A-C191-4579-A72B-83B1F8DF1BEC}">
      <text>
        <t>[Threaded comment]
Your version of Excel allows you to read this threaded comment; however, any edits to it will get removed if the file is opened in a newer version of Excel. Learn more: https://go.microsoft.com/fwlink/?linkid=870924
Comment:
    The Uplink Spectrum File Collection test cases are applicable for the following nodes only:
•	eNodeB DU Radio Node or eNodeB Baseband Radio Node with Next Generation Radio (NGR) G1/G2 Radio Unit (RU) supporting uplink spectrum analyzer (RRU2217B1 with product number KRC161490/2 R1B)
•	NodeB DU Radio Node or Node B Baseband Radio Node with Next Generation Radio (NGR) G1/G2 Radio Unit (RU) supporting uplink spectrum analyzer (RRU2217B1 with product number KRC161490/2 R1B)
Use the following command in the ENM Command Line Interface (CLI) to get the list of eNodeB Baseband RadioNodes and Node B Baseband RadioNodes equipped with at least 1 NGR G1/G2 Radio Unit:
cmedit get * fieldReplaceableUnit
Use the following command in the ENM Command Line Interface (CLI) to get the list of NodeB DU RadioNodes and eNodeB DU RadioNodes equipped with at least 1 NGR G1/G2 Radio Unit:
cmedit get * AuxPlugInUnit</t>
      </text>
    </comment>
    <comment ref="O43" authorId="78" shapeId="0" xr:uid="{C590FBBF-72C3-47F4-A46E-14D2E7C98448}">
      <text>
        <t>[Threaded comment]
Your version of Excel allows you to read this threaded comment; however, any edits to it will get removed if the file is opened in a newer version of Excel. Learn more: https://go.microsoft.com/fwlink/?linkid=870924
Comment:
    The center frequency of uplink spectrum (units: Khz). The value must be specified in range of parameters minFrequency and maxFrequency received as a return value from ‘ulsa capability’ command, that must be a non-zero positive number</t>
      </text>
    </comment>
    <comment ref="P43" authorId="79" shapeId="0" xr:uid="{A7AD69DE-A164-4695-9EA0-5215D65C016B}">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Q43" authorId="80" shapeId="0" xr:uid="{69000818-DA7E-4C66-8CB3-C9FA49DEB636}">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C44" authorId="81" shapeId="0" xr:uid="{43A565C6-038C-4A68-AEAC-53CA1FA15ECE}">
      <text>
        <t>[Threaded comment]
Your version of Excel allows you to read this threaded comment; however, any edits to it will get removed if the file is opened in a newer version of Excel. Learn more: https://go.microsoft.com/fwlink/?linkid=870924
Comment:
    The Uplink Spectrum File Collection test cases are applicable for the following nodes only:
•	eNodeB DU Radio Node or eNodeB Baseband Radio Node with Next Generation Radio (NGR) G1/G2 Radio Unit (RU) supporting uplink spectrum analyzer (RRU2217B1 with product number KRC161490/2 R1B)
•	NodeB DU Radio Node or Node B Baseband Radio Node with Next Generation Radio (NGR) G1/G2 Radio Unit (RU) supporting uplink spectrum analyzer (RRU2217B1 with product number KRC161490/2 R1B)
Use the following command in the ENM Command Line Interface (CLI) to get the list of eNodeB Baseband RadioNodes and Node B Baseband RadioNodes equipped with at least 1 NGR G1/G2 Radio Unit:
cmedit get * fieldReplaceableUnit
Use the following command in the ENM Command Line Interface (CLI) to get the list of NodeB DU RadioNodes and eNodeB DU RadioNodes equipped with at least 1 NGR G1/G2 Radio Unit:
cmedit get * AuxPlugInUnit</t>
      </text>
    </comment>
    <comment ref="O44" authorId="82" shapeId="0" xr:uid="{A173C219-15B9-4B95-BA76-234A9564703B}">
      <text>
        <t>[Threaded comment]
Your version of Excel allows you to read this threaded comment; however, any edits to it will get removed if the file is opened in a newer version of Excel. Learn more: https://go.microsoft.com/fwlink/?linkid=870924
Comment:
    The center frequency of uplink spectrum (units: Khz). The value must be specified in range of parameters minFrequency and maxFrequency received as a return value from ‘ulsa capability’ command, that must be a non-zero positive number</t>
      </text>
    </comment>
    <comment ref="P44" authorId="83" shapeId="0" xr:uid="{73B7E45E-B1B9-49EA-8DCA-DD8D721AC7F0}">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Q44" authorId="84" shapeId="0" xr:uid="{BEF099ED-8EFA-4929-8B71-020AF7F53F74}">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R44" authorId="85" shapeId="0" xr:uid="{DD847BBD-12F4-4011-97BC-5B237A181501}">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S44" authorId="86" shapeId="0" xr:uid="{F252D624-C77D-4DF6-992F-C30BA519753A}">
      <text>
        <t>[Threaded comment]
Your version of Excel allows you to read this threaded comment; however, any edits to it will get removed if the file is opened in a newer version of Excel. Learn more: https://go.microsoft.com/fwlink/?linkid=870924
Comment:
    Sampling Timeout</t>
      </text>
    </comment>
    <comment ref="C45" authorId="87" shapeId="0" xr:uid="{18869D62-6BA5-4A09-8F73-D524B496C080}">
      <text>
        <t>[Threaded comment]
Your version of Excel allows you to read this threaded comment; however, any edits to it will get removed if the file is opened in a newer version of Excel. Learn more: https://go.microsoft.com/fwlink/?linkid=870924
Comment:
    The Uplink Spectrum File Collection test cases are applicable for the following nodes only:
•	eNodeB DU Radio Node or eNodeB Baseband Radio Node with Next Generation Radio (NGR) G1/G2 Radio Unit (RU) supporting uplink spectrum analyzer (RRU2217B1 with product number KRC161490/2 R1B)
•	NodeB DU Radio Node or Node B Baseband Radio Node with Next Generation Radio (NGR) G1/G2 Radio Unit (RU) supporting uplink spectrum analyzer (RRU2217B1 with product number KRC161490/2 R1B)
Use the following command in the ENM Command Line Interface (CLI) to get the list of eNodeB Baseband RadioNodes and Node B Baseband RadioNodes equipped with at least 1 NGR G1/G2 Radio Unit:
cmedit get * fieldReplaceableUnit
Use the following command in the ENM Command Line Interface (CLI) to get the list of NodeB DU RadioNodes and eNodeB DU RadioNodes equipped with at least 1 NGR G1/G2 Radio Unit:
cmedit get * AuxPlugInUnit</t>
      </text>
    </comment>
    <comment ref="O45" authorId="88" shapeId="0" xr:uid="{35EB3F00-EAFD-49D1-9200-EB2A8A092B58}">
      <text>
        <t>[Threaded comment]
Your version of Excel allows you to read this threaded comment; however, any edits to it will get removed if the file is opened in a newer version of Excel. Learn more: https://go.microsoft.com/fwlink/?linkid=870924
Comment:
    The center frequency of uplink spectrum (units: Khz). The value must be specified in range of parameters minFrequency and maxFrequency received as a return value from ‘ulsa capability’ command, that must be a non-zero positive number</t>
      </text>
    </comment>
    <comment ref="P45" authorId="89" shapeId="0" xr:uid="{4D9ECE90-04AE-4811-83AD-715C78803124}">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Q45" authorId="90" shapeId="0" xr:uid="{42C2696D-C497-4090-8CBF-FD71E3AC909A}">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T45" authorId="91" shapeId="0" xr:uid="{5D91A22E-66A6-4498-BACC-2C30084FB8F5}">
      <text>
        <t>[Threaded comment]
Your version of Excel allows you to read this threaded comment; however, any edits to it will get removed if the file is opened in a newer version of Excel. Learn more: https://go.microsoft.com/fwlink/?linkid=870924
Comment:
    LMS hostname</t>
      </text>
    </comment>
    <comment ref="U45" authorId="92" shapeId="0" xr:uid="{85A7ABFA-7AC7-4FF6-A3FD-2A0562256173}">
      <text>
        <t>[Threaded comment]
Your version of Excel allows you to read this threaded comment; however, any edits to it will get removed if the file is opened in a newer version of Excel. Learn more: https://go.microsoft.com/fwlink/?linkid=870924
Comment:
    LMS username</t>
      </text>
    </comment>
    <comment ref="V45" authorId="93" shapeId="0" xr:uid="{5BD3748C-933F-42D6-8D1C-DD56B791E5CF}">
      <text>
        <t>[Threaded comment]
Your version of Excel allows you to read this threaded comment; however, any edits to it will get removed if the file is opened in a newer version of Excel. Learn more: https://go.microsoft.com/fwlink/?linkid=870924
Comment:
    LMS password</t>
      </text>
    </comment>
    <comment ref="W45" authorId="94" shapeId="0" xr:uid="{C25D3E3E-F1B1-4053-A27D-6F8689531F62}">
      <text>
        <t>[Threaded comment]
Your version of Excel allows you to read this threaded comment; however, any edits to it will get removed if the file is opened in a newer version of Excel. Learn more: https://go.microsoft.com/fwlink/?linkid=870924
Comment:
    FLS server hostname</t>
      </text>
    </comment>
    <comment ref="X45" authorId="95" shapeId="0" xr:uid="{174C079F-626F-4290-9926-433094CA6C00}">
      <text>
        <t>[Threaded comment]
Your version of Excel allows you to read this threaded comment; however, any edits to it will get removed if the file is opened in a newer version of Excel. Learn more: https://go.microsoft.com/fwlink/?linkid=870924
Comment:
    FLS Server username</t>
      </text>
    </comment>
    <comment ref="C46" authorId="96" shapeId="0" xr:uid="{C4E11F3C-7EA7-41B7-9518-70C2A6956755}">
      <text>
        <t>[Threaded comment]
Your version of Excel allows you to read this threaded comment; however, any edits to it will get removed if the file is opened in a newer version of Excel. Learn more: https://go.microsoft.com/fwlink/?linkid=870924
Comment:
    The Uplink Spectrum File Collection test cases are applicable for the following nodes only:
•	eNodeB DU Radio Node or eNodeB Baseband Radio Node with Next Generation Radio (NGR) G1/G2 Radio Unit (RU) supporting uplink spectrum analyzer (RRU2217B1 with product number KRC161490/2 R1B)
•	NodeB DU Radio Node or Node B Baseband Radio Node with Next Generation Radio (NGR) G1/G2 Radio Unit (RU) supporting uplink spectrum analyzer (RRU2217B1 with product number KRC161490/2 R1B)
Use the following command in the ENM Command Line Interface (CLI) to get the list of eNodeB Baseband RadioNodes and Node B Baseband RadioNodes equipped with at least 1 NGR G1/G2 Radio Unit:
cmedit get * fieldReplaceableUnit
Use the following command in the ENM Command Line Interface (CLI) to get the list of NodeB DU RadioNodes and eNodeB DU RadioNodes equipped with at least 1 NGR G1/G2 Radio Unit:
cmedit get * AuxPlugInUnit</t>
      </text>
    </comment>
    <comment ref="O46" authorId="97" shapeId="0" xr:uid="{0052AD33-4404-4822-9690-B0B79C5B8C7C}">
      <text>
        <t>[Threaded comment]
Your version of Excel allows you to read this threaded comment; however, any edits to it will get removed if the file is opened in a newer version of Excel. Learn more: https://go.microsoft.com/fwlink/?linkid=870924
Comment:
    The center frequency of uplink spectrum (units: Khz). The value must be specified in range of parameters minFrequency and maxFrequency received as a return value from ‘ulsa capability’ command, that must be a non-zero positive number</t>
      </text>
    </comment>
    <comment ref="P46" authorId="98" shapeId="0" xr:uid="{EA68542A-6218-4B77-A46E-BA1CDD98C800}">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Q46" authorId="99" shapeId="0" xr:uid="{898D9456-AA9E-48A9-A912-9D028582B1CA}">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R46" authorId="100" shapeId="0" xr:uid="{1D2F7776-2F01-4A66-9A64-BEBD3B3518B5}">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S46" authorId="101" shapeId="0" xr:uid="{CF71BBA8-1D91-4D94-A9F7-425262097859}">
      <text>
        <t>[Threaded comment]
Your version of Excel allows you to read this threaded comment; however, any edits to it will get removed if the file is opened in a newer version of Excel. Learn more: https://go.microsoft.com/fwlink/?linkid=870924
Comment:
    Sampling Timeout</t>
      </text>
    </comment>
    <comment ref="C47" authorId="102" shapeId="0" xr:uid="{A1D9C83A-1372-4839-B9D5-DD2A20A49359}">
      <text>
        <t>[Threaded comment]
Your version of Excel allows you to read this threaded comment; however, any edits to it will get removed if the file is opened in a newer version of Excel. Learn more: https://go.microsoft.com/fwlink/?linkid=870924
Comment:
    The Uplink Spectrum File Collection test cases are applicable for the following nodes only:
•	eNodeB DU Radio Node or eNodeB Baseband Radio Node with Next Generation Radio (NGR) G1/G2 Radio Unit (RU) supporting uplink spectrum analyzer (RRU2217B1 with product number KRC161490/2 R1B)
•	NodeB DU Radio Node or Node B Baseband Radio Node with Next Generation Radio (NGR) G1/G2 Radio Unit (RU) supporting uplink spectrum analyzer (RRU2217B1 with product number KRC161490/2 R1B)
Use the following command in the ENM Command Line Interface (CLI) to get the list of eNodeB Baseband RadioNodes and Node B Baseband RadioNodes equipped with at least 1 NGR G1/G2 Radio Unit:
cmedit get * fieldReplaceableUnit
Use the following command in the ENM Command Line Interface (CLI) to get the list of NodeB DU RadioNodes and eNodeB DU RadioNodes equipped with at least 1 NGR G1/G2 Radio Unit:
cmedit get * AuxPlugInUnit</t>
      </text>
    </comment>
    <comment ref="O47" authorId="103" shapeId="0" xr:uid="{3B412F3F-91D4-4E65-B495-B070A077C2B6}">
      <text>
        <t>[Threaded comment]
Your version of Excel allows you to read this threaded comment; however, any edits to it will get removed if the file is opened in a newer version of Excel. Learn more: https://go.microsoft.com/fwlink/?linkid=870924
Comment:
    The center frequency of uplink spectrum (units: Khz). The value must be specified in range of parameters minFrequency and maxFrequency received as a return value from ‘ulsa capability’ command, that must be a non-zero positive number</t>
      </text>
    </comment>
    <comment ref="P47" authorId="104" shapeId="0" xr:uid="{70AEFFAA-768F-4E52-B1BA-75F08E3D6FE0}">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Q47" authorId="105" shapeId="0" xr:uid="{90D5EC74-49C0-4BF4-85CE-9D9BBBDFF17F}">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R47" authorId="106" shapeId="0" xr:uid="{95790A1B-54FA-4091-80C5-2E1C3764B2E5}">
      <text>
        <t>[Threaded comment]
Your version of Excel allows you to read this threaded comment; however, any edits to it will get removed if the file is opened in a newer version of Excel. Learn more: https://go.microsoft.com/fwlink/?linkid=870924
Comment:
    bandwidth (units: Khz).  This must be a non-zero positive number. If db is set to ‘0’, then db information will not be displayed.</t>
      </text>
    </comment>
    <comment ref="S47" authorId="107" shapeId="0" xr:uid="{072600F3-FD1E-4B9C-BF18-32A4943884BA}">
      <text>
        <t>[Threaded comment]
Your version of Excel allows you to read this threaded comment; however, any edits to it will get removed if the file is opened in a newer version of Excel. Learn more: https://go.microsoft.com/fwlink/?linkid=870924
Comment:
    Sampling Timeout</t>
      </text>
    </comment>
    <comment ref="D48" authorId="108" shapeId="0" xr:uid="{6C748406-1B1A-4042-BFB2-FBFB438B8EAB}">
      <text>
        <t>[Threaded comment]
Your version of Excel allows you to read this threaded comment; however, any edits to it will get removed if the file is opened in a newer version of Excel. Learn more: https://go.microsoft.com/fwlink/?linkid=870924
Comment:
    Enter a Subscription name to create a Statistical subcription</t>
      </text>
    </comment>
    <comment ref="E48" authorId="109" shapeId="0" xr:uid="{713E53F0-CD88-4B0C-8D85-07AEFF8548E6}">
      <text>
        <t>[Threaded comment]
Your version of Excel allows you to read this threaded comment; however, any edits to it will get removed if the file is opened in a newer version of Excel. Learn more: https://go.microsoft.com/fwlink/?linkid=870924
Comment:
    Enter duplicate name - 
{subscription_name}+_Duplicate</t>
      </text>
    </comment>
    <comment ref="F48" authorId="110" shapeId="0" xr:uid="{608FC8DE-3CB1-49C3-A61E-73346BD58197}">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C52" authorId="111" shapeId="0" xr:uid="{6953685B-58F8-4586-959D-D59976198DC6}">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D52" authorId="112" shapeId="0" xr:uid="{961B88BC-E160-4228-A396-1FE12B49D5F0}">
      <text>
        <t>[Threaded comment]
Your version of Excel allows you to read this threaded comment; however, any edits to it will get removed if the file is opened in a newer version of Excel. Learn more: https://go.microsoft.com/fwlink/?linkid=870924
Comment:
    Enter a Subscription name to create a Statistical subcription</t>
      </text>
    </comment>
    <comment ref="F52" authorId="113" shapeId="0" xr:uid="{8B049271-996E-4E93-8FB8-C334C22438B8}">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G52" authorId="114" shapeId="0" xr:uid="{92E6B6CF-9B31-4474-A78E-C5624899CC71}">
      <text>
        <t xml:space="preserve">[Threaded comment]
Your version of Excel allows you to read this threaded comment; however, any edits to it will get removed if the file is opened in a newer version of Excel. Learn more: https://go.microsoft.com/fwlink/?linkid=870924
Comment:
    </t>
      </text>
    </comment>
    <comment ref="C53" authorId="115" shapeId="0" xr:uid="{F0067EE4-2AB3-4D70-917C-A5B42E1C7747}">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D53" authorId="116" shapeId="0" xr:uid="{3BFBF4A9-70C1-404C-8BE0-E6087254AC84}">
      <text>
        <t>[Threaded comment]
Your version of Excel allows you to read this threaded comment; however, any edits to it will get removed if the file is opened in a newer version of Excel. Learn more: https://go.microsoft.com/fwlink/?linkid=870924
Comment:
    Enter a Subscription name to create a Statistical subcription</t>
      </text>
    </comment>
    <comment ref="D54" authorId="117" shapeId="0" xr:uid="{BC7C5083-9553-4D48-8D04-9DC58DEE0022}">
      <text>
        <t>[Threaded comment]
Your version of Excel allows you to read this threaded comment; however, any edits to it will get removed if the file is opened in a newer version of Excel. Learn more: https://go.microsoft.com/fwlink/?linkid=870924
Comment:
    Enter a Subscription name to create a Statistical subcription</t>
      </text>
    </comment>
    <comment ref="D55" authorId="118" shapeId="0" xr:uid="{B022BBA5-A4B0-43AA-904D-44F0AC9C950A}">
      <text>
        <t>[Threaded comment]
Your version of Excel allows you to read this threaded comment; however, any edits to it will get removed if the file is opened in a newer version of Excel. Learn more: https://go.microsoft.com/fwlink/?linkid=870924
Comment:
    Enter a Subscription name to create a Statistical subcription</t>
      </text>
    </comment>
    <comment ref="E55" authorId="119" shapeId="0" xr:uid="{077D3D5B-120C-4C5C-9CCB-F21C267ADD69}">
      <text>
        <t>[Threaded comment]
Your version of Excel allows you to read this threaded comment; however, any edits to it will get removed if the file is opened in a newer version of Excel. Learn more: https://go.microsoft.com/fwlink/?linkid=870924
Comment:
    Enter a description for active UE subscription</t>
      </text>
    </comment>
    <comment ref="D56" authorId="120" shapeId="0" xr:uid="{4E2564B9-5EF4-45B0-8847-1795AA6BE557}">
      <text>
        <t>[Threaded comment]
Your version of Excel allows you to read this threaded comment; however, any edits to it will get removed if the file is opened in a newer version of Excel. Learn more: https://go.microsoft.com/fwlink/?linkid=870924
Comment:
    Enter a Subscription name to create a Statistical subcription</t>
      </text>
    </comment>
    <comment ref="E56" authorId="121" shapeId="0" xr:uid="{ABF1CADB-2DF3-41E9-A783-2251BC29ED42}">
      <text>
        <t>[Threaded comment]
Your version of Excel allows you to read this threaded comment; however, any edits to it will get removed if the file is opened in a newer version of Excel. Learn more: https://go.microsoft.com/fwlink/?linkid=870924
Comment:
    Enter duplicate name - 
{subscription_name}+_Duplicate</t>
      </text>
    </comment>
    <comment ref="F56" authorId="122" shapeId="0" xr:uid="{A367A7F0-9754-4275-AA80-BC6D6EED7AA7}">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 ref="D57" authorId="123" shapeId="0" xr:uid="{DAAECE26-59A9-4990-A462-A3DD59E35740}">
      <text>
        <t>[Threaded comment]
Your version of Excel allows you to read this threaded comment; however, any edits to it will get removed if the file is opened in a newer version of Excel. Learn more: https://go.microsoft.com/fwlink/?linkid=870924
Comment:
    Enter a Subscription name to create a Statistical subcription</t>
      </text>
    </comment>
    <comment ref="F63" authorId="124" shapeId="0" xr:uid="{F055EC0A-AC5D-435C-85BA-3B61055B8BB6}">
      <text>
        <t>[Threaded comment]
Your version of Excel allows you to read this threaded comment; however, any edits to it will get removed if the file is opened in a newer version of Excel. Learn more: https://go.microsoft.com/fwlink/?linkid=870924
Comment:
    Enter a description name for subscription</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tc={4DDDB6BD-83F1-4DFA-83B6-91C361689B0A}</author>
    <author>tc={2D19785A-9F1E-4BBE-BAA1-6981970EBC59}</author>
    <author>tc={95FBE39D-C306-45E4-9D1B-D0FC43D922B2}</author>
    <author>tc={A94D55B9-0F29-4EAD-960D-E5146D0C2B38}</author>
    <author>tc={406A7FB7-0CB6-4710-8306-86602E7EC033}</author>
    <author>tc={645B45FE-3A81-4DBF-A943-B4B593B52B44}</author>
    <author>tc={EA384CF4-6A4F-4D96-9E29-C51E101BE449}</author>
    <author>tc={233E5F8A-83E7-4E20-A1F5-E69D6E9C8FB1}</author>
    <author>tc={303876D6-8260-466A-BDC2-667D0F2FB19B}</author>
    <author>tc={DDAE275C-DC42-45EB-A025-6F5604D41FFD}</author>
    <author>tc={2D0B32AD-D4BA-41BF-B00B-11AF1D3D6DF5}</author>
    <author>tc={01CB0967-40EA-4574-81A9-40577E7E67B1}</author>
    <author>tc={9E5F0BA7-1C4C-4124-A096-DEB9D76FC5CF}</author>
    <author>tc={996CC7A5-4518-4B18-B149-1EF065BEFD1B}</author>
    <author>tc={62C9238D-3A1E-46BC-B8AF-C7EB5D8EEAF3}</author>
    <author>tc={A5235462-5767-421F-917E-82E7FC0B93AE}</author>
    <author>tc={E297C89D-4827-4FA2-AFA9-00FBB26EE1EC}</author>
    <author>tc={59F70F91-FA4C-4C85-AFD5-7A5577733143}</author>
    <author>tc={AB6A6A3B-E8C4-4254-A0DC-A79FA145E1D2}</author>
    <author>tc={5A5DB37C-D25E-486A-8C9D-31D80A23B29F}</author>
    <author>tc={42A1CC26-C2C2-4200-AEDB-BAC6B64500AF}</author>
    <author>tc={6DC0F63F-0042-4FE3-901B-C38AB708B80B}</author>
    <author>tc={06E5547D-9DCD-468C-902D-121756A778EE}</author>
    <author>tc={9B706440-DBE9-4021-9C60-5A899168CFB6}</author>
    <author>tc={BDA48447-73EF-45AA-A536-A7EDF41078B0}</author>
    <author>tc={20946D65-767C-482A-8038-D5EDACCC4A26}</author>
    <author>tc={4FA1E553-2530-462C-A557-E38382FD144E}</author>
    <author>tc={77B58BE8-D7FF-458E-931E-A454FA354A9C}</author>
    <author>tc={94F949FF-5D7D-4D96-BDF8-AB6BA2E5E77D}</author>
    <author>tc={A4163477-5E38-4FAC-AB93-752CD1B031E4}</author>
    <author>tc={A038BDF7-9D4B-42E4-B1CB-EA5AC336F63E}</author>
    <author>tc={E59EB029-6E21-4297-B6BC-230299EFC6DF}</author>
    <author>tc={ADE97C1D-B9B5-4015-AAD1-4C051911ADE7}</author>
    <author>tc={15198287-9870-48C7-AFD7-7E5A0EF3F54F}</author>
    <author>tc={443D6F13-9CCA-4A54-B568-1CA5D06A9711}</author>
    <author>tc={91151D24-DC12-40C4-8E44-9730FE5005C4}</author>
    <author>tc={E294A714-809B-4496-A84E-115C3EB08600}</author>
    <author>tc={A5E43A57-40AA-453C-B5DB-201D59E36D29}</author>
    <author>tc={6A74AE97-9DB4-4186-ABA0-8F96E306B5E9}</author>
    <author>tc={F92574D4-12B2-407A-A19E-49040F41550D}</author>
    <author>tc={8460A28F-741E-427B-8859-2B4CD056751D}</author>
    <author>tc={4091F4B6-04C6-465E-A7B4-5869C010DF30}</author>
    <author>tc={5093E68B-E1C5-493E-A6EF-E966FF0AEE3A}</author>
  </authors>
  <commentList>
    <comment ref="D2" authorId="0" shapeId="0" xr:uid="{4DDDB6BD-83F1-4DFA-83B6-91C361689B0A}">
      <text>
        <t>[Threaded comment]
Your version of Excel allows you to read this threaded comment; however, any edits to it will get removed if the file is opened in a newer version of Excel. Learn more: https://go.microsoft.com/fwlink/?linkid=870924
Comment:
    Enter a KPI name to create</t>
      </text>
    </comment>
    <comment ref="G2" authorId="1" shapeId="0" xr:uid="{2D19785A-9F1E-4BBE-BAA1-6981970EBC59}">
      <text>
        <t>[Threaded comment]
Your version of Excel allows you to read this threaded comment; however, any edits to it will get removed if the file is opened in a newer version of Excel. Learn more: https://go.microsoft.com/fwlink/?linkid=870924
Comment:
    Enter Reporting Object.Your node selection will determine the reporting objects available. Not all Reporting Objects are available for all nodes</t>
      </text>
    </comment>
    <comment ref="I2" authorId="2" shapeId="0" xr:uid="{95FBE39D-C306-45E4-9D1B-D0FC43D922B2}">
      <text>
        <t>[Threaded comment]
Your version of Excel allows you to read this threaded comment; however, any edits to it will get removed if the file is opened in a newer version of Excel. Learn more: https://go.microsoft.com/fwlink/?linkid=870924
Comment:
    Enter a nodetype you want to create</t>
      </text>
    </comment>
    <comment ref="J2" authorId="3" shapeId="0" xr:uid="{A94D55B9-0F29-4EAD-960D-E5146D0C2B38}">
      <text>
        <t>[Threaded comment]
Your version of Excel allows you to read this threaded comment; however, any edits to it will get removed if the file is opened in a newer version of Excel. Learn more: https://go.microsoft.com/fwlink/?linkid=870924
Comment:
    Enter Measurement Object based on Nodetype during KPI creation</t>
      </text>
    </comment>
    <comment ref="K2" authorId="4" shapeId="0" xr:uid="{406A7FB7-0CB6-4710-8306-86602E7EC033}">
      <text>
        <t>[Threaded comment]
Your version of Excel allows you to read this threaded comment; however, any edits to it will get removed if the file is opened in a newer version of Excel. Learn more: https://go.microsoft.com/fwlink/?linkid=870924
Comment:
    Enter formula based on Nodetype</t>
      </text>
    </comment>
    <comment ref="L2" authorId="5" shapeId="0" xr:uid="{645B45FE-3A81-4DBF-A943-B4B593B52B44}">
      <text>
        <t>[Threaded comment]
Your version of Excel allows you to read this threaded comment; however, any edits to it will get removed if the file is opened in a newer version of Excel. Learn more: https://go.microsoft.com/fwlink/?linkid=870924
Comment:
    Enter subformula based on nodetype during KPI creation</t>
      </text>
    </comment>
    <comment ref="C3" authorId="6" shapeId="0" xr:uid="{EA384CF4-6A4F-4D96-9E29-C51E101BE449}">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D3" authorId="7" shapeId="0" xr:uid="{233E5F8A-83E7-4E20-A1F5-E69D6E9C8FB1}">
      <text>
        <t>[Threaded comment]
Your version of Excel allows you to read this threaded comment; however, any edits to it will get removed if the file is opened in a newer version of Excel. Learn more: https://go.microsoft.com/fwlink/?linkid=870924
Comment:
    Add same KPI Name as created in NHM-3.1 testcase.</t>
      </text>
    </comment>
    <comment ref="D4" authorId="8" shapeId="0" xr:uid="{303876D6-8260-466A-BDC2-667D0F2FB19B}">
      <text>
        <t>[Threaded comment]
Your version of Excel allows you to read this threaded comment; however, any edits to it will get removed if the file is opened in a newer version of Excel. Learn more: https://go.microsoft.com/fwlink/?linkid=870924
Comment:
    Add same KPI Name as created in NHM-3.1 testcase.</t>
      </text>
    </comment>
    <comment ref="D5" authorId="9" shapeId="0" xr:uid="{DDAE275C-DC42-45EB-A025-6F5604D41FFD}">
      <text>
        <t>[Threaded comment]
Your version of Excel allows you to read this threaded comment; however, any edits to it will get removed if the file is opened in a newer version of Excel. Learn more: https://go.microsoft.com/fwlink/?linkid=870924
Comment:
    Add same KPI Name as created in NHM-3.1 testcase.</t>
      </text>
    </comment>
    <comment ref="H5" authorId="10" shapeId="0" xr:uid="{2D0B32AD-D4BA-41BF-B00B-11AF1D3D6DF5}">
      <text>
        <t>[Threaded comment]
Your version of Excel allows you to read this threaded comment; however, any edits to it will get removed if the file is opened in a newer version of Excel. Learn more: https://go.microsoft.com/fwlink/?linkid=870924
Comment:
    Enter a Duplicate KPI name</t>
      </text>
    </comment>
    <comment ref="C6" authorId="11" shapeId="0" xr:uid="{01CB0967-40EA-4574-81A9-40577E7E67B1}">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9" authorId="12" shapeId="0" xr:uid="{9E5F0BA7-1C4C-4124-A096-DEB9D76FC5C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0" authorId="13" shapeId="0" xr:uid="{996CC7A5-4518-4B18-B149-1EF065BEFD1B}">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1" authorId="14" shapeId="0" xr:uid="{62C9238D-3A1E-46BC-B8AF-C7EB5D8EEAF3}">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2" authorId="15" shapeId="0" xr:uid="{A5235462-5767-421F-917E-82E7FC0B93AE}">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3" authorId="16" shapeId="0" xr:uid="{E297C89D-4827-4FA2-AFA9-00FBB26EE1EC}">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4" authorId="17" shapeId="0" xr:uid="{59F70F91-FA4C-4C85-AFD5-7A5577733143}">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5" authorId="18" shapeId="0" xr:uid="{AB6A6A3B-E8C4-4254-A0DC-A79FA145E1D2}">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6" authorId="19" shapeId="0" xr:uid="{5A5DB37C-D25E-486A-8C9D-31D80A23B29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7" authorId="20" shapeId="0" xr:uid="{42A1CC26-C2C2-4200-AEDB-BAC6B64500A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8" authorId="21" shapeId="0" xr:uid="{6DC0F63F-0042-4FE3-901B-C38AB708B80B}">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9" authorId="22" shapeId="0" xr:uid="{06E5547D-9DCD-468C-902D-121756A778EE}">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H19" authorId="23" shapeId="0" xr:uid="{9B706440-DBE9-4021-9C60-5A899168CFB6}">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0" authorId="24" shapeId="0" xr:uid="{BDA48447-73EF-45AA-A536-A7EDF41078B0}">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1" authorId="25" shapeId="0" xr:uid="{20946D65-767C-482A-8038-D5EDACCC4A26}">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2" authorId="26" shapeId="0" xr:uid="{4FA1E553-2530-462C-A557-E38382FD144E}">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3" authorId="27" shapeId="0" xr:uid="{77B58BE8-D7FF-458E-931E-A454FA354A9C}">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4" authorId="28" shapeId="0" xr:uid="{94F949FF-5D7D-4D96-BDF8-AB6BA2E5E77D}">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5" authorId="29" shapeId="0" xr:uid="{A4163477-5E38-4FAC-AB93-752CD1B031E4}">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6" authorId="30" shapeId="0" xr:uid="{A038BDF7-9D4B-42E4-B1CB-EA5AC336F63E}">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7" authorId="31" shapeId="0" xr:uid="{E59EB029-6E21-4297-B6BC-230299EFC6D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8" authorId="32" shapeId="0" xr:uid="{ADE97C1D-B9B5-4015-AAD1-4C051911ADE7}">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9" authorId="33" shapeId="0" xr:uid="{15198287-9870-48C7-AFD7-7E5A0EF3F54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0" authorId="34" shapeId="0" xr:uid="{443D6F13-9CCA-4A54-B568-1CA5D06A9711}">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1" authorId="35" shapeId="0" xr:uid="{91151D24-DC12-40C4-8E44-9730FE5005C4}">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2" authorId="36" shapeId="0" xr:uid="{E294A714-809B-4496-A84E-115C3EB08600}">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D34" authorId="37" shapeId="0" xr:uid="{A5E43A57-40AA-453C-B5DB-201D59E36D29}">
      <text>
        <t>[Threaded comment]
Your version of Excel allows you to read this threaded comment; however, any edits to it will get removed if the file is opened in a newer version of Excel. Learn more: https://go.microsoft.com/fwlink/?linkid=870924
Comment:
    Enter a KPI name to create</t>
      </text>
    </comment>
    <comment ref="G34" authorId="38" shapeId="0" xr:uid="{6A74AE97-9DB4-4186-ABA0-8F96E306B5E9}">
      <text>
        <t>[Threaded comment]
Your version of Excel allows you to read this threaded comment; however, any edits to it will get removed if the file is opened in a newer version of Excel. Learn more: https://go.microsoft.com/fwlink/?linkid=870924
Comment:
    Enter Reporting Object.Your node selection will determine the reporting objects available. Not all Reporting Objects are available for all nodes</t>
      </text>
    </comment>
    <comment ref="I34" authorId="39" shapeId="0" xr:uid="{F92574D4-12B2-407A-A19E-49040F41550D}">
      <text>
        <t>[Threaded comment]
Your version of Excel allows you to read this threaded comment; however, any edits to it will get removed if the file is opened in a newer version of Excel. Learn more: https://go.microsoft.com/fwlink/?linkid=870924
Comment:
    Enter a nodetype you want to create</t>
      </text>
    </comment>
    <comment ref="J34" authorId="40" shapeId="0" xr:uid="{8460A28F-741E-427B-8859-2B4CD056751D}">
      <text>
        <t>[Threaded comment]
Your version of Excel allows you to read this threaded comment; however, any edits to it will get removed if the file is opened in a newer version of Excel. Learn more: https://go.microsoft.com/fwlink/?linkid=870924
Comment:
    Enter Measurement Object based on Nodetype during KPI creation</t>
      </text>
    </comment>
    <comment ref="K34" authorId="41" shapeId="0" xr:uid="{4091F4B6-04C6-465E-A7B4-5869C010DF30}">
      <text>
        <t>[Threaded comment]
Your version of Excel allows you to read this threaded comment; however, any edits to it will get removed if the file is opened in a newer version of Excel. Learn more: https://go.microsoft.com/fwlink/?linkid=870924
Comment:
    Enter formula based on Nodetype</t>
      </text>
    </comment>
    <comment ref="L34" authorId="42" shapeId="0" xr:uid="{5093E68B-E1C5-493E-A6EF-E966FF0AEE3A}">
      <text>
        <t>[Threaded comment]
Your version of Excel allows you to read this threaded comment; however, any edits to it will get removed if the file is opened in a newer version of Excel. Learn more: https://go.microsoft.com/fwlink/?linkid=870924
Comment:
    Enter subformula based on nodetype during KPI creation</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tc={DFD1A594-6D16-41E5-B504-E18B911DFAA0}</author>
    <author>tc={8B2718BA-95FE-4BFC-B02C-6CAC4F1148CB}</author>
    <author>tc={858B11D1-5D71-43E8-8058-7A8C4396267D}</author>
    <author>tc={CAA15B03-6A5F-4F75-A42B-CA820CC46BC0}</author>
    <author>tc={8CA8DE3E-0D57-412E-8F81-43FF1F414BA5}</author>
    <author>tc={3A22C2BA-A8B2-4278-9438-4F408CE69782}</author>
    <author>tc={2B3F3B6F-95AD-4466-84E2-309FA0BA58B9}</author>
    <author>tc={B0E5462F-704E-4EFC-91D9-238B9CB306CA}</author>
    <author>tc={CF887F3B-0C1D-420A-AFEB-9A0FD1D394C0}</author>
    <author>tc={36379872-DDAA-4002-92E5-4B73D605D72E}</author>
    <author>tc={3ACAD1AA-F88C-457C-B47F-867323F2C645}</author>
    <author>tc={E8F3A3BC-43EC-4807-ACDE-0A3F88DD6F1F}</author>
    <author>tc={83C8F865-D707-4AB2-8D61-040769B455DA}</author>
    <author>tc={1090A5BB-9B72-43C3-B043-B5AB6F162F46}</author>
    <author>tc={E74D6CF2-DE48-4F57-8CEF-8C4585E0C25E}</author>
    <author>tc={CD6A918F-060D-4424-B924-020AD972BB6F}</author>
    <author>tc={1CAE9182-7E61-49EA-85C5-7A3E1D5AFF52}</author>
    <author>tc={DC76E39E-7C7C-4679-9246-82EFF26BFAE0}</author>
    <author>tc={605E4B06-DC20-4D6B-9B7B-C5A99C273E23}</author>
    <author>tc={E353CEF4-2CC5-4BE2-B42D-CDE1BB2C4661}</author>
    <author>tc={CA365E43-9A28-4414-8B19-DC77E3BA539F}</author>
    <author>tc={AEA9A2D3-F3BC-4317-8A62-75E4AA20104E}</author>
    <author>tc={B6382224-A473-4524-A814-E8ABEDE62BF4}</author>
    <author>tc={55C2317F-6979-463D-A2C7-0985DACB6019}</author>
    <author>tc={668C9C9F-541D-4021-8A76-642FDFB7572B}</author>
    <author>tc={0EBF511E-DFFB-4B76-B44A-5AB9A9666302}</author>
    <author>tc={9B2DED4F-F78C-4A5C-9907-C1C606AFC915}</author>
    <author>tc={D4D58796-E972-402E-A823-52E50EB3030B}</author>
    <author>tc={03C3C188-0F8B-49F6-963C-FA7B4B7A7A91}</author>
    <author>tc={C37703E9-EAF9-4B40-BBEA-BB633749DA05}</author>
    <author>tc={5D9ECDB2-89AD-467D-B0E8-EE155F187B48}</author>
    <author>tc={B4EE2EE1-590A-412D-9928-E56945827D38}</author>
    <author>tc={7640A6E9-F6F8-4F8C-BAA3-080B9A3C40A0}</author>
    <author>tc={91A104B1-9E80-4FC9-9D0D-3F3951116C34}</author>
    <author>tc={052DFB44-920D-4340-839A-AB7177B382F5}</author>
    <author>tc={4F45A440-540F-4696-B373-D04755C424F2}</author>
    <author>tc={C83BA51E-5C58-45AC-AD30-835FC3EE3138}</author>
    <author>tc={61DF8922-B8E4-4E72-83FA-FBE708020966}</author>
    <author>tc={24D10C63-BCB2-40DF-B552-AC77126094D9}</author>
    <author>tc={0D13ECB9-2BD4-4318-ADB1-AFA70FEDEAD7}</author>
    <author>tc={34100CFA-34BF-411D-B88C-7ABF0D69FE04}</author>
    <author>tc={587F6739-CFA7-4684-97A2-CE98FEB4217F}</author>
    <author>tc={BE613A0B-0184-4B02-9EB4-1CA8FD4A1426}</author>
  </authors>
  <commentList>
    <comment ref="C2" authorId="0" shapeId="0" xr:uid="{DFD1A594-6D16-41E5-B504-E18B911DFAA0}">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 authorId="1" shapeId="0" xr:uid="{8B2718BA-95FE-4BFC-B02C-6CAC4F1148CB}">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4" authorId="2" shapeId="0" xr:uid="{858B11D1-5D71-43E8-8058-7A8C4396267D}">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E4" authorId="3" shapeId="0" xr:uid="{CAA15B03-6A5F-4F75-A42B-CA820CC46BC0}">
      <text>
        <t>[Threaded comment]
Your version of Excel allows you to read this threaded comment; however, any edits to it will get removed if the file is opened in a newer version of Excel. Learn more: https://go.microsoft.com/fwlink/?linkid=870924
Comment:
    Enter a name to create a Alarm route</t>
      </text>
    </comment>
    <comment ref="C5" authorId="4" shapeId="0" xr:uid="{8CA8DE3E-0D57-412E-8F81-43FF1F414BA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6" authorId="5" shapeId="0" xr:uid="{3A22C2BA-A8B2-4278-9438-4F408CE69782}">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7" authorId="6" shapeId="0" xr:uid="{2B3F3B6F-95AD-4466-84E2-309FA0BA58B9}">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8" authorId="7" shapeId="0" xr:uid="{B0E5462F-704E-4EFC-91D9-238B9CB306CA}">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9" authorId="8" shapeId="0" xr:uid="{CF887F3B-0C1D-420A-AFEB-9A0FD1D394C0}">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0" authorId="9" shapeId="0" xr:uid="{36379872-DDAA-4002-92E5-4B73D605D72E}">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1" authorId="10" shapeId="0" xr:uid="{3ACAD1AA-F88C-457C-B47F-867323F2C64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2" authorId="11" shapeId="0" xr:uid="{E8F3A3BC-43EC-4807-ACDE-0A3F88DD6F1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3" authorId="12" shapeId="0" xr:uid="{83C8F865-D707-4AB2-8D61-040769B455DA}">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G13" authorId="13" shapeId="0" xr:uid="{1090A5BB-9B72-43C3-B043-B5AB6F162F46}">
      <text>
        <t>[Threaded comment]
Your version of Excel allows you to read this threaded comment; however, any edits to it will get removed if the file is opened in a newer version of Excel. Learn more: https://go.microsoft.com/fwlink/?linkid=870924
Comment:
    If you select this option as TRUE it will clear all alarms from specified node ,so choose it cautiously ,by default it will be false</t>
      </text>
    </comment>
    <comment ref="C14" authorId="14" shapeId="0" xr:uid="{E74D6CF2-DE48-4F57-8CEF-8C4585E0C25E}">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5" authorId="15" shapeId="0" xr:uid="{CD6A918F-060D-4424-B924-020AD972BB6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6" authorId="16" shapeId="0" xr:uid="{1CAE9182-7E61-49EA-85C5-7A3E1D5AFF52}">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7" authorId="17" shapeId="0" xr:uid="{DC76E39E-7C7C-4679-9246-82EFF26BFAE0}">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8" authorId="18" shapeId="0" xr:uid="{605E4B06-DC20-4D6B-9B7B-C5A99C273E23}">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9" authorId="19" shapeId="0" xr:uid="{E353CEF4-2CC5-4BE2-B42D-CDE1BB2C4661}">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D19" authorId="20" shapeId="0" xr:uid="{CA365E43-9A28-4414-8B19-DC77E3BA539F}">
      <text>
        <t>[Threaded comment]
Your version of Excel allows you to read this threaded comment; however, any edits to it will get removed if the file is opened in a newer version of Excel. Learn more: https://go.microsoft.com/fwlink/?linkid=870924
Comment:
    Enter a name to create a Alarm route</t>
      </text>
    </comment>
    <comment ref="C20" authorId="21" shapeId="0" xr:uid="{AEA9A2D3-F3BC-4317-8A62-75E4AA20104E}">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1" authorId="22" shapeId="0" xr:uid="{B6382224-A473-4524-A814-E8ABEDE62BF4}">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D21" authorId="23" shapeId="0" xr:uid="{55C2317F-6979-463D-A2C7-0985DACB6019}">
      <text>
        <t>[Threaded comment]
Your version of Excel allows you to read this threaded comment; however, any edits to it will get removed if the file is opened in a newer version of Excel. Learn more: https://go.microsoft.com/fwlink/?linkid=870924
Comment:
    Enter a name to create a Alarm route</t>
      </text>
    </comment>
    <comment ref="C22" authorId="24" shapeId="0" xr:uid="{668C9C9F-541D-4021-8A76-642FDFB7572B}">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3" authorId="25" shapeId="0" xr:uid="{0EBF511E-DFFB-4B76-B44A-5AB9A9666302}">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4" authorId="26" shapeId="0" xr:uid="{9B2DED4F-F78C-4A5C-9907-C1C606AFC91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5" authorId="27" shapeId="0" xr:uid="{D4D58796-E972-402E-A823-52E50EB3030B}">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6" authorId="28" shapeId="0" xr:uid="{03C3C188-0F8B-49F6-963C-FA7B4B7A7A91}">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7" authorId="29" shapeId="0" xr:uid="{C37703E9-EAF9-4B40-BBEA-BB633749DA0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8" authorId="30" shapeId="0" xr:uid="{5D9ECDB2-89AD-467D-B0E8-EE155F187B48}">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29" authorId="31" shapeId="0" xr:uid="{B4EE2EE1-590A-412D-9928-E56945827D38}">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0" authorId="32" shapeId="0" xr:uid="{7640A6E9-F6F8-4F8C-BAA3-080B9A3C40A0}">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1" authorId="33" shapeId="0" xr:uid="{91A104B1-9E80-4FC9-9D0D-3F3951116C34}">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2" authorId="34" shapeId="0" xr:uid="{052DFB44-920D-4340-839A-AB7177B382F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3" authorId="35" shapeId="0" xr:uid="{4F45A440-540F-4696-B373-D04755C424F2}">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4" authorId="36" shapeId="0" xr:uid="{C83BA51E-5C58-45AC-AD30-835FC3EE3138}">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E34" authorId="37" shapeId="0" xr:uid="{61DF8922-B8E4-4E72-83FA-FBE708020966}">
      <text>
        <t>[Threaded comment]
Your version of Excel allows you to read this threaded comment; however, any edits to it will get removed if the file is opened in a newer version of Excel. Learn more: https://go.microsoft.com/fwlink/?linkid=870924
Comment:
    Enter a name to create a Alarm route</t>
      </text>
    </comment>
    <comment ref="C35" authorId="38" shapeId="0" xr:uid="{24D10C63-BCB2-40DF-B552-AC77126094D9}">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6" authorId="39" shapeId="0" xr:uid="{0D13ECB9-2BD4-4318-ADB1-AFA70FEDEAD7}">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7" authorId="40" shapeId="0" xr:uid="{34100CFA-34BF-411D-B88C-7ABF0D69FE04}">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8" authorId="41" shapeId="0" xr:uid="{587F6739-CFA7-4684-97A2-CE98FEB4217F}">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9" authorId="42" shapeId="0" xr:uid="{BE613A0B-0184-4B02-9EB4-1CA8FD4A1426}">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tc={1066A3A3-8568-494C-80A0-F27A8FBD0B6A}</author>
    <author>tc={AEF44220-7931-4C47-9B64-CA2FA703EB0F}</author>
    <author>tc={3481CD38-80CF-4126-AC9B-694E45C5D041}</author>
    <author>tc={CAB9EFEF-3A77-450A-9F4F-1C419156B0FC}</author>
    <author>tc={CAB593DD-FBDF-46AE-A8E9-D13DA4E4920E}</author>
  </authors>
  <commentList>
    <comment ref="D7" authorId="0" shapeId="0" xr:uid="{1066A3A3-8568-494C-80A0-F27A8FBD0B6A}">
      <text>
        <t>[Threaded comment]
Your version of Excel allows you to read this threaded comment; however, any edits to it will get removed if the file is opened in a newer version of Excel. Learn more: https://go.microsoft.com/fwlink/?linkid=870924
Comment:
    Enter ENM admin username</t>
      </text>
    </comment>
    <comment ref="E7" authorId="1" shapeId="0" xr:uid="{AEF44220-7931-4C47-9B64-CA2FA703EB0F}">
      <text>
        <t>[Threaded comment]
Your version of Excel allows you to read this threaded comment; however, any edits to it will get removed if the file is opened in a newer version of Excel. Learn more: https://go.microsoft.com/fwlink/?linkid=870924
Comment:
    Enter ENM admin Password</t>
      </text>
    </comment>
    <comment ref="C9" authorId="2" shapeId="0" xr:uid="{3481CD38-80CF-4126-AC9B-694E45C5D041}">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0" authorId="3" shapeId="0" xr:uid="{CAB9EFEF-3A77-450A-9F4F-1C419156B0FC}">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3" authorId="4" shapeId="0" xr:uid="{CAB593DD-FBDF-46AE-A8E9-D13DA4E4920E}">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tc={AB3AEC83-5B36-459E-8AE6-05692BA36855}</author>
    <author>tc={175D3B3B-1E4A-47EF-BD70-49BEF16220F0}</author>
    <author>tc={D66816FA-F0B0-4A47-8981-1D05229D7122}</author>
    <author>tc={DB76F284-8FD6-4714-97EE-ECB6F83CBEB1}</author>
    <author>tc={68AA1A50-6676-4D85-9E12-0B6F47188A2C}</author>
    <author>tc={804CA030-0BDE-4CBB-BB9A-68685E03A6A3}</author>
    <author>tc={9E2D3952-C211-4DEC-BC40-FA3AE5220428}</author>
    <author>tc={D1DA26A4-EC5D-41A9-844F-D3F7E9EC8428}</author>
    <author>tc={A8F3A327-CC48-4060-A416-A7F464BDC96B}</author>
    <author>tc={9E8D1C2F-B617-4327-B11C-0C307D8DC195}</author>
    <author>tc={D7B77AFA-4E14-4493-A015-F726F7220F60}</author>
  </authors>
  <commentList>
    <comment ref="C2" authorId="0" shapeId="0" xr:uid="{AB3AEC83-5B36-459E-8AE6-05692BA3685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3" authorId="1" shapeId="0" xr:uid="{175D3B3B-1E4A-47EF-BD70-49BEF16220F0}">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4" authorId="2" shapeId="0" xr:uid="{D66816FA-F0B0-4A47-8981-1D05229D7122}">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5" authorId="3" shapeId="0" xr:uid="{DB76F284-8FD6-4714-97EE-ECB6F83CBEB1}">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6" authorId="4" shapeId="0" xr:uid="{68AA1A50-6676-4D85-9E12-0B6F47188A2C}">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7" authorId="5" shapeId="0" xr:uid="{804CA030-0BDE-4CBB-BB9A-68685E03A6A3}">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F7" authorId="6" shapeId="0" xr:uid="{9E2D3952-C211-4DEC-BC40-FA3AE5220428}">
      <text>
        <t>[Threaded comment]
Your version of Excel allows you to read this threaded comment; however, any edits to it will get removed if the file is opened in a newer version of Excel. Learn more: https://go.microsoft.com/fwlink/?linkid=870924
Comment:
    Enter a report name to create</t>
      </text>
    </comment>
    <comment ref="G7" authorId="7" shapeId="0" xr:uid="{D1DA26A4-EC5D-41A9-844F-D3F7E9EC8428}">
      <text>
        <t>[Threaded comment]
Your version of Excel allows you to read this threaded comment; however, any edits to it will get removed if the file is opened in a newer version of Excel. Learn more: https://go.microsoft.com/fwlink/?linkid=870924
Comment:
    Give a Category for NHC report(PRE_INSTALL OR PRE_UPGRADE OR POST_UPGRADE )</t>
      </text>
    </comment>
    <comment ref="C8" authorId="8" shapeId="0" xr:uid="{A8F3A327-CC48-4060-A416-A7F464BDC96B}">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9" authorId="9" shapeId="0" xr:uid="{9E8D1C2F-B617-4327-B11C-0C307D8DC195}">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 ref="C11" authorId="10" shapeId="0" xr:uid="{D7B77AFA-4E14-4493-A015-F726F7220F60}">
      <text>
        <t>[Threaded comment]
Your version of Excel allows you to read this threaded comment; however, any edits to it will get removed if the file is opened in a newer version of Excel. Learn more: https://go.microsoft.com/fwlink/?linkid=870924
Comment:
    Enter nodename based on nodetype present in TOL</t>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tc={0FEE6984-3AB0-4B13-8B5E-F4AD6C842038}</author>
  </authors>
  <commentList>
    <comment ref="C2" authorId="0" shapeId="0" xr:uid="{0FEE6984-3AB0-4B13-8B5E-F4AD6C842038}">
      <text>
        <t>[Threaded comment]
Your version of Excel allows you to read this threaded comment; however, any edits to it will get removed if the file is opened in a newer version of Excel. Learn more: https://go.microsoft.com/fwlink/?linkid=870924
Comment:
    USE AT YOUR OWN RISK. Be aware before running this ,all the PMIC subscription,NHC collection ,SHM reports etc as per testcases will be deleted from system as part of cleanup .DO NOT PUT ANY USERNAME WHICH IS USED FOR ACTIVITY OTHER THAN CTAF EXECUTION.</t>
      </text>
    </comment>
  </commentList>
</comments>
</file>

<file path=xl/sharedStrings.xml><?xml version="1.0" encoding="utf-8"?>
<sst xmlns="http://schemas.openxmlformats.org/spreadsheetml/2006/main" count="3951" uniqueCount="1613">
  <si>
    <t>Execution_Flag</t>
  </si>
  <si>
    <t>Test Case</t>
  </si>
  <si>
    <t>UserName</t>
  </si>
  <si>
    <t>Password</t>
  </si>
  <si>
    <t>Y</t>
  </si>
  <si>
    <t>Administrator</t>
  </si>
  <si>
    <t>SubscriptionName</t>
  </si>
  <si>
    <t>SubscriptionDesc</t>
  </si>
  <si>
    <t>Node</t>
  </si>
  <si>
    <t>Nodename</t>
  </si>
  <si>
    <t>NetworkViewer-MAsterGAT-3.7</t>
  </si>
  <si>
    <t>NetworkViewer-MAsterGAT-3.8</t>
  </si>
  <si>
    <t>IP address</t>
  </si>
  <si>
    <t>Security Pass</t>
  </si>
  <si>
    <t>abc</t>
  </si>
  <si>
    <t>Latitude</t>
  </si>
  <si>
    <t>Longitude</t>
  </si>
  <si>
    <t>Nodetype</t>
  </si>
  <si>
    <t>RadioNode</t>
  </si>
  <si>
    <t>NetworkViewer-MAsterGAT-3.9</t>
  </si>
  <si>
    <t>Security Password</t>
  </si>
  <si>
    <t>NetworkViewer-MAsterGAT-3.10</t>
  </si>
  <si>
    <t>NetworkViewer-MAsterGAT-3.11</t>
  </si>
  <si>
    <t>NetworkViewer-MAsterGAT-3.12</t>
  </si>
  <si>
    <t>NetworkViewer-MAsterGAT-3.18</t>
  </si>
  <si>
    <t>NetworkViewer-MAsterGAT-3.19</t>
  </si>
  <si>
    <t>Node2</t>
  </si>
  <si>
    <t>NetworkViewer-MAsterGAT-3.30</t>
  </si>
  <si>
    <t>NetworkViewer-MAsterGAT-3.14</t>
  </si>
  <si>
    <t>KPI name</t>
  </si>
  <si>
    <t>NHM-MAsterGAT-3.6</t>
  </si>
  <si>
    <t>NHM-MAsterGAT-3.9</t>
  </si>
  <si>
    <t>Workspace Name</t>
  </si>
  <si>
    <t>Workspace1</t>
  </si>
  <si>
    <t>Original Workspace name</t>
  </si>
  <si>
    <t>Workspace</t>
  </si>
  <si>
    <t>Workspace2</t>
  </si>
  <si>
    <t>NHM-MAsterGAT-3.10</t>
  </si>
  <si>
    <t>NHM-MAsterGAT-3.20</t>
  </si>
  <si>
    <t>NHM-MAsterGAT-3.23</t>
  </si>
  <si>
    <t>NHM-MAsterGAT-3.26</t>
  </si>
  <si>
    <t>NHM-MAsterGAT-3.30</t>
  </si>
  <si>
    <t>NHM-MAsterGAT-3.31</t>
  </si>
  <si>
    <t>Object Name</t>
  </si>
  <si>
    <t>NHM-MAsterGAT-3.37</t>
  </si>
  <si>
    <t>NHM-MAsterGAT-3.38</t>
  </si>
  <si>
    <t>NHM-MAsterGAT-3.39</t>
  </si>
  <si>
    <t>NHM-MAsterGAT-3.40</t>
  </si>
  <si>
    <t>NHM-MAsterGAT-3.41</t>
  </si>
  <si>
    <t>NHM-MAsterGAT-3.14</t>
  </si>
  <si>
    <t>NHM-MAsterGAT-3.17</t>
  </si>
  <si>
    <t>NHM-MAsterGAT-3.18</t>
  </si>
  <si>
    <t>NHM-MAsterGAT-3.19</t>
  </si>
  <si>
    <t>NHM-MAsterGAT-3.21</t>
  </si>
  <si>
    <t>NHM-MAsterGAT-3.22</t>
  </si>
  <si>
    <t>NHM-MAsterGAT-3.24</t>
  </si>
  <si>
    <t>NHM-MAsterGAT-3.25</t>
  </si>
  <si>
    <t>NHM-MAsterGAT-3.27</t>
  </si>
  <si>
    <t>NHM-MAsterGAT-3.29</t>
  </si>
  <si>
    <t>NHM-MAsterGAT-3.32</t>
  </si>
  <si>
    <t>NHM-MAsterGAT-3.36</t>
  </si>
  <si>
    <t>NHM-MAsterGAT-3.43</t>
  </si>
  <si>
    <t>Update Existing User information</t>
  </si>
  <si>
    <t>Email</t>
  </si>
  <si>
    <t>Check User Management page</t>
  </si>
  <si>
    <t>View user profile</t>
  </si>
  <si>
    <t>NewPassword</t>
  </si>
  <si>
    <t>efg.ijk@ericsson.com</t>
  </si>
  <si>
    <t>Description</t>
  </si>
  <si>
    <t>Testing ENM</t>
  </si>
  <si>
    <t>Modify a traget group</t>
  </si>
  <si>
    <t>Assign targets using saved searches</t>
  </si>
  <si>
    <t>Node information for with mandatory MeContext</t>
  </si>
  <si>
    <t>Node information for with optional MeContext</t>
  </si>
  <si>
    <t>Dummynode1</t>
  </si>
  <si>
    <t>Dummynode2</t>
  </si>
  <si>
    <t>Node and subnetwork information for with mandatory MeContext</t>
  </si>
  <si>
    <t>Dummynode3</t>
  </si>
  <si>
    <t>Subnetwork</t>
  </si>
  <si>
    <t>TESTNETWORK</t>
  </si>
  <si>
    <t>BSP</t>
  </si>
  <si>
    <t>test123</t>
  </si>
  <si>
    <t>user123</t>
  </si>
  <si>
    <t>user124</t>
  </si>
  <si>
    <t>user125</t>
  </si>
  <si>
    <t>test124</t>
  </si>
  <si>
    <t>test125</t>
  </si>
  <si>
    <t>Start CM Supervision and Sync a Node</t>
  </si>
  <si>
    <t>Delete Node</t>
  </si>
  <si>
    <t>NeType</t>
  </si>
  <si>
    <t>PlatformType</t>
  </si>
  <si>
    <t>OssPrefix</t>
  </si>
  <si>
    <t>CppConnectivityInformation</t>
  </si>
  <si>
    <t>IP</t>
  </si>
  <si>
    <t>Port</t>
  </si>
  <si>
    <t>NameSpace1</t>
  </si>
  <si>
    <t>NameSpace2</t>
  </si>
  <si>
    <t>Version1</t>
  </si>
  <si>
    <t>Version2</t>
  </si>
  <si>
    <t>Create required Managed Objects for CM features</t>
  </si>
  <si>
    <t>SHM-3.1</t>
  </si>
  <si>
    <t>JobName</t>
  </si>
  <si>
    <t>SHM-3.5</t>
  </si>
  <si>
    <t>DuplicateJobName</t>
  </si>
  <si>
    <t>AGATJOB_restore_backup</t>
  </si>
  <si>
    <t>Housekeeping_job_test</t>
  </si>
  <si>
    <t>Create Role</t>
  </si>
  <si>
    <t>change a user's password</t>
  </si>
  <si>
    <t>Update existing User information for customized Password Ageing</t>
  </si>
  <si>
    <t>Launch AMOS using SSH client on Scripting VMs</t>
  </si>
  <si>
    <t>Host</t>
  </si>
  <si>
    <t>Load Balancing of Incoming SSH Connections to AMOS VMs</t>
  </si>
  <si>
    <t>SHM-3.4</t>
  </si>
  <si>
    <t>SHM-3.2</t>
  </si>
  <si>
    <t>SHM-3.3</t>
  </si>
  <si>
    <t>SHM-3.32</t>
  </si>
  <si>
    <t>SHM-3.33</t>
  </si>
  <si>
    <t>SHM-3.34</t>
  </si>
  <si>
    <t>SHM-3.36</t>
  </si>
  <si>
    <t>Delete User</t>
  </si>
  <si>
    <t>Delete Role</t>
  </si>
  <si>
    <t>Update existing Role information</t>
  </si>
  <si>
    <t>user can change own password</t>
  </si>
  <si>
    <t>Information</t>
  </si>
  <si>
    <t>Counter</t>
  </si>
  <si>
    <t>Create Statistical Subscription</t>
  </si>
  <si>
    <t>Edit an Inactive Statistical Subscription</t>
  </si>
  <si>
    <t>Activate a Statistical Subscription</t>
  </si>
  <si>
    <t>Duplicate A Statistical Subscription</t>
  </si>
  <si>
    <t>Deactivate and delete a Statistical Subscription</t>
  </si>
  <si>
    <t>Create Cell Trace Subscription</t>
  </si>
  <si>
    <t>Statistical Subscription with Criteria</t>
  </si>
  <si>
    <t>Create a UE Trace Subscriptions</t>
  </si>
  <si>
    <t>Edit an Inactive UE Trace Subscription</t>
  </si>
  <si>
    <t>Activate a UE Trace Subscription</t>
  </si>
  <si>
    <t>Edit an Active UE Trace Subscription</t>
  </si>
  <si>
    <t>Duplicate a UE Trace Subscription</t>
  </si>
  <si>
    <t>Deactivate a UE Trace Subscription</t>
  </si>
  <si>
    <t>Edit an Active Statistical Subscription</t>
  </si>
  <si>
    <t>View PM Node Processes for Active Subscriptions</t>
  </si>
  <si>
    <t>AlarmRoute</t>
  </si>
  <si>
    <t>GUI-FM-MasterGat-4.8</t>
  </si>
  <si>
    <t>GUI-FM-MasterGat-4.1</t>
  </si>
  <si>
    <t>GUI-FM-MasterGat-4.3</t>
  </si>
  <si>
    <t>GUI-FM-MasterGat-4.4</t>
  </si>
  <si>
    <t>GUI-FM-MasterGat-4.5</t>
  </si>
  <si>
    <t>GUI-FM-MasterGat-4.6</t>
  </si>
  <si>
    <t>GUI-FM-MasterGat-4.7</t>
  </si>
  <si>
    <t>GUI-FM-MasterGat-4.9</t>
  </si>
  <si>
    <t>GUI-FM-MasterGat-4.10</t>
  </si>
  <si>
    <t>GUI-FM-MasterGat-4.16</t>
  </si>
  <si>
    <t>GUI-FM-MasterGat-4.17</t>
  </si>
  <si>
    <t>GUI-FM-MasterGat-4.20</t>
  </si>
  <si>
    <t>GUI-FM-MasterGat-4.21</t>
  </si>
  <si>
    <t>NetworkExplorer-MAsterGAT-3.1</t>
  </si>
  <si>
    <t>Hostname</t>
  </si>
  <si>
    <t>12shroot</t>
  </si>
  <si>
    <t>Use of this Excel sheet</t>
  </si>
  <si>
    <t>Optional Data</t>
  </si>
  <si>
    <t>Mandatory Data</t>
  </si>
  <si>
    <t>Color Code</t>
  </si>
  <si>
    <t>Data Type</t>
  </si>
  <si>
    <t xml:space="preserve"> Type of Data </t>
  </si>
  <si>
    <t>Don’t change the Data</t>
  </si>
  <si>
    <t>No need to provide the Data</t>
  </si>
  <si>
    <t>SHM-3.19</t>
  </si>
  <si>
    <t>SHM-3.13</t>
  </si>
  <si>
    <t>NHM-MAsterGAT-3.7</t>
  </si>
  <si>
    <t>Verify view alarm details under Alarm Monitor UI</t>
  </si>
  <si>
    <t>Verify Auto Ack functionality</t>
  </si>
  <si>
    <t>Verify Acknowledge of alarms through Alarm Monitor UI</t>
  </si>
  <si>
    <t>Verify Unacknowledge of alarms through Alarm Monitor UI</t>
  </si>
  <si>
    <t>Verify Clear of alarms through Alarm Monitor UI</t>
  </si>
  <si>
    <t>Verify Filters in Alarm Monitor UI</t>
  </si>
  <si>
    <t>Verify alarm search using Alarm Search UI</t>
  </si>
  <si>
    <t>Verify Alarm Supervision State UI</t>
  </si>
  <si>
    <t>Verify Alarm Export in Alarm Monitor UI</t>
  </si>
  <si>
    <t>Verify alarm export in Alarm Search UI</t>
  </si>
  <si>
    <t>Verify Alarm type summary in alarm overview</t>
  </si>
  <si>
    <t>Verify Alarm severity summary in alarm overview</t>
  </si>
  <si>
    <t>Verify comment on alarms through Alarm Monitor UI</t>
  </si>
  <si>
    <t>GUI-FM-MasterGat-3.1</t>
  </si>
  <si>
    <t>Verify Enabling Alarm Supervision</t>
  </si>
  <si>
    <t>Verify Disabling Alarm Supervision</t>
  </si>
  <si>
    <t>GUI-FM-MasterGat-3.4</t>
  </si>
  <si>
    <t>Verify Manual Alarm Synchronization</t>
  </si>
  <si>
    <t>GUI-FM-MasterGat-4.15</t>
  </si>
  <si>
    <t>Verify fmcli commands</t>
  </si>
  <si>
    <t>GUI-FM-MasterGat-4.25</t>
  </si>
  <si>
    <t>Verify two column sorting in Alarm Monitor UI</t>
  </si>
  <si>
    <t>GUI-FM-MasterGat-4.26</t>
  </si>
  <si>
    <t>Verify multiple workspaces in Alarm Monitor UI</t>
  </si>
  <si>
    <t>GUI-FM-MasterGat-4.27</t>
  </si>
  <si>
    <t>Launch Element Manager from an alarm</t>
  </si>
  <si>
    <t>GUI-FM-MasterGat-4.28</t>
  </si>
  <si>
    <t>Launch Node Cli from an alarm</t>
  </si>
  <si>
    <t>GUI-FM-00-Custom-4.29</t>
  </si>
  <si>
    <t>Launch AMOS from an alarm</t>
  </si>
  <si>
    <t>GUI-FM-MasterGat-8.1</t>
  </si>
  <si>
    <t>Describes supported Log Types for Nodes</t>
  </si>
  <si>
    <t>GUI-FM-MasterGat-8.2</t>
  </si>
  <si>
    <t>Upload Log Type(s) from Nodes</t>
  </si>
  <si>
    <t>GUI-FM-MasterGat-8.3</t>
  </si>
  <si>
    <t>Checks the status of Log Type(s) for Nodes</t>
  </si>
  <si>
    <t>GUI-FM-MasterGat-8.4</t>
  </si>
  <si>
    <t>Download Log Type(s) for Nodes</t>
  </si>
  <si>
    <t>GUI-FM-MasterGat-8.5</t>
  </si>
  <si>
    <t>Delete uploaded Log Type(s) for Nodes</t>
  </si>
  <si>
    <t>GUI-FM-MasterGat-5.2</t>
  </si>
  <si>
    <t>Alarm Supervision ON with spontaneous event detection</t>
  </si>
  <si>
    <t>TestCase-Description</t>
  </si>
  <si>
    <t>ROP</t>
  </si>
  <si>
    <t>NodeType</t>
  </si>
  <si>
    <t>startRopTimeInOss</t>
  </si>
  <si>
    <t>endRopTimeInOss</t>
  </si>
  <si>
    <t>Org_UE_Fraction</t>
  </si>
  <si>
    <t>BB46</t>
  </si>
  <si>
    <t>AdmissionControl</t>
  </si>
  <si>
    <t>Check for Duplicate Counters</t>
  </si>
  <si>
    <t>Export Counters or Events</t>
  </si>
  <si>
    <t>Edit an Inactive Cell Trace Subscription</t>
  </si>
  <si>
    <t>Edit an Active Cell Trace Subscription</t>
  </si>
  <si>
    <t>Remove a Node from an active Cell Trace Subscription</t>
  </si>
  <si>
    <t>Add a Node to an Active Subscription</t>
  </si>
  <si>
    <t>Remove a Node from an Active Subscription</t>
  </si>
  <si>
    <t>Fetch File Information for PM Subscriptions</t>
  </si>
  <si>
    <t>ERBS</t>
  </si>
  <si>
    <t>System Defined Statistical Subscription</t>
  </si>
  <si>
    <t>Deactivate the Continuous Cell Trace Subscription</t>
  </si>
  <si>
    <t>Activate a BSC Recordings Subscription</t>
  </si>
  <si>
    <t>Edit the Inactive Continuous Cell Trace Subscription</t>
  </si>
  <si>
    <t>Test Role Based Access Control</t>
  </si>
  <si>
    <t>Add a Node to ENM belonging to Generic Subscription</t>
  </si>
  <si>
    <t>File Monitoring</t>
  </si>
  <si>
    <t>ReportName</t>
  </si>
  <si>
    <t>Health Check Category</t>
  </si>
  <si>
    <t>NHC-4.1</t>
  </si>
  <si>
    <t>CTAF-NHC-REPORT</t>
  </si>
  <si>
    <t>PRE_UPGRADE</t>
  </si>
  <si>
    <t>NHC-4.5</t>
  </si>
  <si>
    <t>Run Node HealthCheck</t>
  </si>
  <si>
    <t>View Cells</t>
  </si>
  <si>
    <t>Launch Element Manager</t>
  </si>
  <si>
    <t>Launch AMOS</t>
  </si>
  <si>
    <t>Launch Node CLI</t>
  </si>
  <si>
    <t>Monitor alarms and node ,view inventories,software,hardware,License and Backup</t>
  </si>
  <si>
    <t>FDN Search using Topology</t>
  </si>
  <si>
    <t>Name</t>
  </si>
  <si>
    <t>UserLevel</t>
  </si>
  <si>
    <t>Create a Manual Profile</t>
  </si>
  <si>
    <t>Create a Topology Group Range</t>
  </si>
  <si>
    <t>CTAF_Testing</t>
  </si>
  <si>
    <t>Read EUtranCell/UtranCell/GeranCell/NR Cell data for an LTE/WCDMA/GSM/NR node</t>
  </si>
  <si>
    <t>Lock cell</t>
  </si>
  <si>
    <t>Unlock cell</t>
  </si>
  <si>
    <t>View Relation</t>
  </si>
  <si>
    <t>Get and Set Attributes on a Managed Object on NE</t>
  </si>
  <si>
    <t>"TEST"</t>
  </si>
  <si>
    <t>Create and Delete Managed Objects on NE</t>
  </si>
  <si>
    <t>GUI-CMCLI-8.1</t>
  </si>
  <si>
    <t>CPP</t>
  </si>
  <si>
    <t>Execute a modelled action on a Managed Object</t>
  </si>
  <si>
    <t>FinalPassword</t>
  </si>
  <si>
    <t>Edit Multiple Users</t>
  </si>
  <si>
    <t>Note:</t>
  </si>
  <si>
    <t>Node Type</t>
  </si>
  <si>
    <t>Measurement Object</t>
  </si>
  <si>
    <t>Formula</t>
  </si>
  <si>
    <t>Sub Formula</t>
  </si>
  <si>
    <t>NHM-MAsterGAT-3.1</t>
  </si>
  <si>
    <t>GATKPITEST</t>
  </si>
  <si>
    <t>Create KPI</t>
  </si>
  <si>
    <t>NHM-MAsterGAT-3.3</t>
  </si>
  <si>
    <t>Edit a KPI and Set a Threshold</t>
  </si>
  <si>
    <t>NHM-MAsterGAT-3.5</t>
  </si>
  <si>
    <t>Activate a KPI</t>
  </si>
  <si>
    <t>Duplicate KPI</t>
  </si>
  <si>
    <t>Add Widgets to NHM</t>
  </si>
  <si>
    <t>Rename Workspace</t>
  </si>
  <si>
    <t>Add Nodes for Monitoring in NHM</t>
  </si>
  <si>
    <t>Select / Deselect Nodes for monitoring in NHM</t>
  </si>
  <si>
    <t>NHM-MAsterGAT-3.15</t>
  </si>
  <si>
    <t>Monitor the Worst Performing Nodes By KPI</t>
  </si>
  <si>
    <t>Monitor the Most Problematic Nodes By Alarm Count</t>
  </si>
  <si>
    <t>Monitor the Most Problematic Alarm Type By Count</t>
  </si>
  <si>
    <t>Monitoring the ALarm severity Summary</t>
  </si>
  <si>
    <t>Monitor the Alarm Type Summary</t>
  </si>
  <si>
    <t xml:space="preserve">
Monitor the Operational State of Selected Nodes</t>
  </si>
  <si>
    <t>Monitoring the Sync Status of a node</t>
  </si>
  <si>
    <t>Change the data displayed in Network Health Analysis and select a KPI to monitor</t>
  </si>
  <si>
    <t>Export the data displayed in Network Health Analysis</t>
  </si>
  <si>
    <t>Filter the data displayed in Network Health Analysis</t>
  </si>
  <si>
    <t>Launch external Apps from Network Health Analysis</t>
  </si>
  <si>
    <t>Monitor an Individual Node</t>
  </si>
  <si>
    <t>Monitor the Alarm Severity Summary for an Individual Node</t>
  </si>
  <si>
    <t>Monitor the Alarm Type Summary for an Individual Node</t>
  </si>
  <si>
    <t>Monitor the Most Problematic Alarm Type By Count for an Individual Node</t>
  </si>
  <si>
    <t>Monitor the Latest KPI Values for an Individual Node</t>
  </si>
  <si>
    <t>Monitor Real Time KPI Values for an Individual Node</t>
  </si>
  <si>
    <t>Export the data displayed in KPI Viewer Widget</t>
  </si>
  <si>
    <t>Refine the scope of monitoring for Nodes in Breach of the threshold value for Node Level KPI</t>
  </si>
  <si>
    <t>Refine the scope of monitoring for the Nodes in Breach of the threshold value for Cell Level KPI</t>
  </si>
  <si>
    <t>Refine the scope of monitoring for the Nodes in Breach of the threshold value for a KPI having transport node type (or a mix of Transport/WCDMA/LTE node types)</t>
  </si>
  <si>
    <t>NHM: Refine the scope of monitoring for the Nodes in Non Operational State</t>
  </si>
  <si>
    <t>Testnode200</t>
  </si>
  <si>
    <t>Testnode111</t>
  </si>
  <si>
    <t>Testnode521</t>
  </si>
  <si>
    <t>Testnode222</t>
  </si>
  <si>
    <t>Testnode</t>
  </si>
  <si>
    <t>12.21.1.12</t>
  </si>
  <si>
    <t>10.10.12.23</t>
  </si>
  <si>
    <t>BackupName</t>
  </si>
  <si>
    <t>status</t>
  </si>
  <si>
    <t>View Software Inventory</t>
  </si>
  <si>
    <t>View Hardware Inventory</t>
  </si>
  <si>
    <t>View License Inventory</t>
  </si>
  <si>
    <t>View Backup Inventory Inventory</t>
  </si>
  <si>
    <t xml:space="preserve">
MTAS_Test_Data_Backup</t>
  </si>
  <si>
    <t>standard</t>
  </si>
  <si>
    <t>Manage Backup for CPP based nodes with shm_Administrator role</t>
  </si>
  <si>
    <t>Create a new Job from Job Details</t>
  </si>
  <si>
    <t>View Upgrade Packages on node</t>
  </si>
  <si>
    <t>Export Software Inventory Data</t>
  </si>
  <si>
    <t>Export Hardware Inventory Data</t>
  </si>
  <si>
    <t>Export License Inventory Data</t>
  </si>
  <si>
    <t>Restore Backup existing on Node</t>
  </si>
  <si>
    <t>SHM-3.24</t>
  </si>
  <si>
    <t>Delete Job</t>
  </si>
  <si>
    <t>SHM-3.12</t>
  </si>
  <si>
    <t>SHM View Key Files</t>
  </si>
  <si>
    <t>SHM-3.37</t>
  </si>
  <si>
    <t>Housekeeping of Backups for ECIM based nodes with Shm_Administrator role</t>
  </si>
  <si>
    <t>GUI-SHM-3.23</t>
  </si>
  <si>
    <t>Test_Node_Backup</t>
  </si>
  <si>
    <t>Creation of Node backup</t>
  </si>
  <si>
    <t>Test_Backup</t>
  </si>
  <si>
    <t>ECIM</t>
  </si>
  <si>
    <t>Create Node backup (CPP/ECIM)</t>
  </si>
  <si>
    <t>GUI-SHM-4.2</t>
  </si>
  <si>
    <t>RadioNode2</t>
  </si>
  <si>
    <t>View Hardware Inventory from CLI (CPP/ECIM)</t>
  </si>
  <si>
    <t>GUI-SHM-4.4</t>
  </si>
  <si>
    <t>View Backup Inventory from CLI (CPP/ECIM)</t>
  </si>
  <si>
    <t>GUI-SHM-3.28</t>
  </si>
  <si>
    <t>SHM_Node_Backup</t>
  </si>
  <si>
    <t>View Inventory Summary (CPP/ECIM)</t>
  </si>
  <si>
    <t>GUI-SHM-3.25</t>
  </si>
  <si>
    <t>Delete_Backup_Job</t>
  </si>
  <si>
    <t>Delete software backup</t>
  </si>
  <si>
    <t>GUI-SHM-4.11</t>
  </si>
  <si>
    <t>Test_Node_Backup_CLI</t>
  </si>
  <si>
    <t>Immediate</t>
  </si>
  <si>
    <t>backup job from CLI (CPP/ECIM) (Please read the node in status column)</t>
  </si>
  <si>
    <t>GUI-SHM-4.8</t>
  </si>
  <si>
    <t>Test_Node_Backup_JOB_CLI</t>
  </si>
  <si>
    <t>Schedule</t>
  </si>
  <si>
    <t>GUI-SHM-3.35</t>
  </si>
  <si>
    <t>TestNode_ECIM</t>
  </si>
  <si>
    <t>Duplicate backup (ECIM)</t>
  </si>
  <si>
    <t>BladeName</t>
  </si>
  <si>
    <t>131.160.99.68</t>
  </si>
  <si>
    <t>root</t>
  </si>
  <si>
    <t>123shroot</t>
  </si>
  <si>
    <t>scp-1-scripting</t>
  </si>
  <si>
    <t>administrator</t>
  </si>
  <si>
    <t>123Shroot123Shroot</t>
  </si>
  <si>
    <t>BladeRootPassword</t>
  </si>
  <si>
    <t>Terminate the HTTPD process running</t>
  </si>
  <si>
    <t>Profile</t>
  </si>
  <si>
    <t>Modify Profile from Project</t>
  </si>
  <si>
    <t>test</t>
  </si>
  <si>
    <t>Delete Profile from Project</t>
  </si>
  <si>
    <t>Capability to view/update parameters for CM application</t>
  </si>
  <si>
    <t>test_um</t>
  </si>
  <si>
    <t>Original Parameter Value</t>
  </si>
  <si>
    <t>Modified Parameter Value</t>
  </si>
  <si>
    <t>GUI-CPM-3.1</t>
  </si>
  <si>
    <t>Test</t>
  </si>
  <si>
    <t>View and modify the parameters</t>
  </si>
  <si>
    <t>CscfTesting;CscfTesting2</t>
  </si>
  <si>
    <t>GAT testing1;GAT testing2</t>
  </si>
  <si>
    <t>BatteryBackup;BatteryBackup</t>
  </si>
  <si>
    <t>12345;12345</t>
  </si>
  <si>
    <t>editing active subscription1;editing active subscription2</t>
  </si>
  <si>
    <t>RadioNode System Defined Statistical Subscription</t>
  </si>
  <si>
    <t>GAT testing_duplicate1;GAT testing_duplicate2</t>
  </si>
  <si>
    <t>Test Statistical Subs1;Test Statistical Subs2</t>
  </si>
  <si>
    <t>Test Cell Trace Subs1;Test Cell Trace Subs2</t>
  </si>
  <si>
    <t>15MIN;15MIN</t>
  </si>
  <si>
    <t>ERBS;RadioNode</t>
  </si>
  <si>
    <t>2:15:00 AM;2:15:00 AM</t>
  </si>
  <si>
    <t>2:30:00 AM;2:30:00 AM</t>
  </si>
  <si>
    <t>Continuous Cell Trace NRAN;Continuous Cell Trace NRAN</t>
  </si>
  <si>
    <t>RadioNode;RadioNode</t>
  </si>
  <si>
    <t>1000;1000</t>
  </si>
  <si>
    <t>06:00;06:00</t>
  </si>
  <si>
    <t>07:00;07:00</t>
  </si>
  <si>
    <t>SubNetwork=WCDMA,SubNetwork=NodeB,MeContext=DTESZT4u2</t>
  </si>
  <si>
    <t>OSS_NE_DEF</t>
  </si>
  <si>
    <t>U.4.1240</t>
  </si>
  <si>
    <t>10.244.82.197</t>
  </si>
  <si>
    <t>CPP_MED</t>
  </si>
  <si>
    <t>1.0.0</t>
  </si>
  <si>
    <t>GUI-FM-00-Custom-4.30</t>
  </si>
  <si>
    <t>Verify Disable Auto Ack functionality</t>
  </si>
  <si>
    <t>GUI-FM-00-Custom-4.31</t>
  </si>
  <si>
    <t>Performing And Validating Alarm Comment</t>
  </si>
  <si>
    <t>GUI-FM-MasterGat-5.1</t>
  </si>
  <si>
    <t>SNMP:Alarm Supervision ON with automatic synchronization enabled, align alarms already present on the node</t>
  </si>
  <si>
    <t>GUI-FM-MasterGat-4.23</t>
  </si>
  <si>
    <t>Single Rop Recovery on Subscription</t>
  </si>
  <si>
    <t>Create an MO Instance Subscription</t>
  </si>
  <si>
    <t>Edit an Inactive MO Instance Subscription</t>
  </si>
  <si>
    <t>Duplicate A MO Instance Subscription</t>
  </si>
  <si>
    <t>Create a Cell Traffic Recording Subscription</t>
  </si>
  <si>
    <t>Activate a Cell Traffic Recording Subscription</t>
  </si>
  <si>
    <t>Duplicate a Cell Traffic Recording Subscription</t>
  </si>
  <si>
    <t>Deactivate a Cell Traffic Recording Subscription</t>
  </si>
  <si>
    <t>Create a UETR Subscriptions</t>
  </si>
  <si>
    <t>cf_value</t>
  </si>
  <si>
    <t>db_value</t>
  </si>
  <si>
    <t>rb_value</t>
  </si>
  <si>
    <t>SI_value</t>
  </si>
  <si>
    <t>ST_value</t>
  </si>
  <si>
    <t>LmsHostname</t>
  </si>
  <si>
    <t>LmsUserName</t>
  </si>
  <si>
    <t>LmsPassword</t>
  </si>
  <si>
    <t>ScriptingHost</t>
  </si>
  <si>
    <t>ScriptingUserName</t>
  </si>
  <si>
    <t>ScriptingPassword</t>
  </si>
  <si>
    <t>Get RU Uplink Spectrum Analyzer Capabilities using ULSA CLI Command Set</t>
  </si>
  <si>
    <t>Start Uplink Spectrum Snapshot Sampling and verify File Collection using ULSA CLI Command Set</t>
  </si>
  <si>
    <t>Start Continuous Uplink Spectrum Sampling using Sampling Activities Manager UI</t>
  </si>
  <si>
    <t>Start Scheduled Uplink Spectrum Sampling using Sampling Activities Manager UI</t>
  </si>
  <si>
    <t>Stop an ongoing Sample Activity using Sampling Activities Manager UI</t>
  </si>
  <si>
    <t>View and export Uplink Spectrum Graph of Selected Sample Files</t>
  </si>
  <si>
    <t>682825;682832</t>
  </si>
  <si>
    <t>10;10</t>
  </si>
  <si>
    <t>120;120</t>
  </si>
  <si>
    <t>131.160.99.68;131.160.99.68</t>
  </si>
  <si>
    <t>CSCF_CTR_Testing1;CSCF_CTR_Testing2</t>
  </si>
  <si>
    <t>Test_UETR_CREATE_SUBS1;Test_UETR_CREATE_SUBS2</t>
  </si>
  <si>
    <t>GAT_CTR_testing1;GAT_CTR_testing2</t>
  </si>
  <si>
    <t>GAT_testing1;GAT_testing2</t>
  </si>
  <si>
    <t>MEASUREMENTS;MEASUREMENTS</t>
  </si>
  <si>
    <t>NBAP_COMPRESSED_MODE_COMMAND;NBAP_COMPRESSED_MODE_COMMAND</t>
  </si>
  <si>
    <t>pmBwLostCells;pmBwLostCells</t>
  </si>
  <si>
    <t>GUI-FM-MasterGat-4.18</t>
  </si>
  <si>
    <t>GUI-FM-MasterGat-4.19</t>
  </si>
  <si>
    <t>BSC33</t>
  </si>
  <si>
    <t>CscfTesting</t>
  </si>
  <si>
    <t>GUI-FM-MasterGat-9.4</t>
  </si>
  <si>
    <t>Start Snapshot Uplink Spectrum Sampling using Sampling Activities Manager UI</t>
  </si>
  <si>
    <t>RNC04;RNC23</t>
  </si>
  <si>
    <t>Events</t>
  </si>
  <si>
    <t>INTERNAL;INTERNAL</t>
  </si>
  <si>
    <t>NBAP;NBAP</t>
  </si>
  <si>
    <t>CSCF_CTR_Testing1_Duplicate;CSCF_CTR_Testing2_Duplicate</t>
  </si>
  <si>
    <t>AMOSUserName</t>
  </si>
  <si>
    <t>AMOSPassword</t>
  </si>
  <si>
    <t>NodeUser</t>
  </si>
  <si>
    <t>NodePass</t>
  </si>
  <si>
    <t>FeatureState</t>
  </si>
  <si>
    <t>EnmUrl</t>
  </si>
  <si>
    <t>labuser</t>
  </si>
  <si>
    <t>Letmein01</t>
  </si>
  <si>
    <t>Launch AMOS using SSH client on Scripting VMs and run AMOS scripts</t>
  </si>
  <si>
    <t>Load Balancing of Incoming SSH Connections to Scripting VMs</t>
  </si>
  <si>
    <t>enm1.lmf.ericsson.se</t>
  </si>
  <si>
    <t>Using the Network Explorer search box to search on a node</t>
  </si>
  <si>
    <t>Monitor Alarms and Monitor This Node from Network Explorer</t>
  </si>
  <si>
    <t>NetworkExplorer-Custom-3.6.1.2</t>
  </si>
  <si>
    <t>Locate In Topology and View SW Inventory from Network Explorer</t>
  </si>
  <si>
    <t>NetworkExplorer-Custom-3.6.1.3</t>
  </si>
  <si>
    <t>View Licence Inventory and View Hardware Inventory from Network Explorer</t>
  </si>
  <si>
    <t>NetworkExplorer-Custom-3.6.1.4</t>
  </si>
  <si>
    <t>View Backup Inventory from Network Explorer</t>
  </si>
  <si>
    <t>NetworkExplorer-Custom-3.6.2</t>
  </si>
  <si>
    <t>Run Node Health Check on a node from Network Explorer</t>
  </si>
  <si>
    <t>NetworkExplorer-Custom-3.6.3</t>
  </si>
  <si>
    <t>View cells from Network Explorer</t>
  </si>
  <si>
    <t>NetworkExplorer-Custom-3.6.4</t>
  </si>
  <si>
    <t>Node CLI will be launched from Network Explorer</t>
  </si>
  <si>
    <t>NetworkExplorer-Custom-3.6.5</t>
  </si>
  <si>
    <t>AMOS will be launched from Network Explorer</t>
  </si>
  <si>
    <t>NetworkExplorer-Custom-3.6.6</t>
  </si>
  <si>
    <t>Element Manager will be launched from Network Explorer</t>
  </si>
  <si>
    <t>Delete a KPI</t>
  </si>
  <si>
    <t>NHM-MAsterGAT-3.51</t>
  </si>
  <si>
    <t>View Trend Charts in Network Health Analysis</t>
  </si>
  <si>
    <t>Reporting Object</t>
  </si>
  <si>
    <t>GigaBitEthernet</t>
  </si>
  <si>
    <t>pmIfInOctetsLink1Hi</t>
  </si>
  <si>
    <t>ProfileName</t>
  </si>
  <si>
    <t>ReportDesc</t>
  </si>
  <si>
    <t>NHC-4.2</t>
  </si>
  <si>
    <t>Health_check_profile_gat</t>
  </si>
  <si>
    <t>Report_Gat_testing</t>
  </si>
  <si>
    <t>NHC-4.9</t>
  </si>
  <si>
    <t>Gat Testing</t>
  </si>
  <si>
    <t>NHC-4.11</t>
  </si>
  <si>
    <t>Trusted_CA</t>
  </si>
  <si>
    <t>EntityName</t>
  </si>
  <si>
    <t>Entity_Profile</t>
  </si>
  <si>
    <t>Key_Generation_Algorithm</t>
  </si>
  <si>
    <t>Common_name</t>
  </si>
  <si>
    <t>Country_name</t>
  </si>
  <si>
    <t>Organization</t>
  </si>
  <si>
    <t>Organization_unit</t>
  </si>
  <si>
    <t>SecurityPKI-7.5</t>
  </si>
  <si>
    <t>TestProfile</t>
  </si>
  <si>
    <t>SecurityPKI-7.13</t>
  </si>
  <si>
    <t>ENM_PKI_Root_CA_EP</t>
  </si>
  <si>
    <t>RSA-2048</t>
  </si>
  <si>
    <t>US</t>
  </si>
  <si>
    <t>Ericsson</t>
  </si>
  <si>
    <t>Kol</t>
  </si>
  <si>
    <t>CXC4012050</t>
  </si>
  <si>
    <t>No</t>
  </si>
  <si>
    <t>Create Internal Alert</t>
  </si>
  <si>
    <t>GUI-BC-3.1</t>
  </si>
  <si>
    <t>Test_hello</t>
  </si>
  <si>
    <t>Create Job &amp; Validate</t>
  </si>
  <si>
    <t>GUI-BC-3.2</t>
  </si>
  <si>
    <t>Job Details and Execute Job</t>
  </si>
  <si>
    <t>GUI-CPM-3.2</t>
  </si>
  <si>
    <t>GUI-CPM-3.4</t>
  </si>
  <si>
    <t>View parameters on an MO class in Parameter Management GUI using an Unsaved Search</t>
  </si>
  <si>
    <t>GUI-CPM-3.3</t>
  </si>
  <si>
    <t>GUI-LogViewer-04</t>
  </si>
  <si>
    <t>GUI-SHM-3.12</t>
  </si>
  <si>
    <t>Import License Key files</t>
  </si>
  <si>
    <t>GUI-SHM-4.1</t>
  </si>
  <si>
    <t>GUI-SHM-4.3</t>
  </si>
  <si>
    <t>Node1</t>
  </si>
  <si>
    <t>GUI-PLM-00-3.2</t>
  </si>
  <si>
    <t>List Links</t>
  </si>
  <si>
    <t>module_name</t>
  </si>
  <si>
    <t>Parameter_value</t>
  </si>
  <si>
    <t>FMX VM Name</t>
  </si>
  <si>
    <t>List Loaded modules-FMX CLI</t>
  </si>
  <si>
    <t>svc-2-fmx</t>
  </si>
  <si>
    <t>FMX-3.1.18</t>
  </si>
  <si>
    <t>RNX_HealthCheck</t>
  </si>
  <si>
    <t>FMX-3.1.19</t>
  </si>
  <si>
    <t>FMX-3.1.20</t>
  </si>
  <si>
    <t>FMX-3.1.21</t>
  </si>
  <si>
    <t>FMX-3.1.22</t>
  </si>
  <si>
    <t>FMX-3.1.23</t>
  </si>
  <si>
    <t>Upload module into Export</t>
  </si>
  <si>
    <t>Import module into Archive</t>
  </si>
  <si>
    <t>Load modules into Engine</t>
  </si>
  <si>
    <t>Start the rule trace</t>
  </si>
  <si>
    <t>Activate rule module</t>
  </si>
  <si>
    <t>Verify rule trace</t>
  </si>
  <si>
    <t>GUI-AP-3.9.2</t>
  </si>
  <si>
    <t>View Project and Nodes Details</t>
  </si>
  <si>
    <t>GUI-AP-3.9.5</t>
  </si>
  <si>
    <t>Download Ordered Artifact</t>
  </si>
  <si>
    <t>GUI-AP-3.9.9</t>
  </si>
  <si>
    <t>Download Initial Node Artifacts</t>
  </si>
  <si>
    <t>GUI-AP-3.9.10</t>
  </si>
  <si>
    <t>Download Node Sample and Schema Files Artifacts</t>
  </si>
  <si>
    <t>Labels</t>
  </si>
  <si>
    <t>Show how a user can search for a different object from Topology Browser</t>
  </si>
  <si>
    <t>SubNetwork=NETSIM</t>
  </si>
  <si>
    <t>SubNetwork</t>
  </si>
  <si>
    <t>View parameters on an MO class in Parameter Management GUI using a Collection</t>
  </si>
  <si>
    <t xml:space="preserve">Duplicate Abnormal Releases MME </t>
  </si>
  <si>
    <t>POSTUPGRADE</t>
  </si>
  <si>
    <t>LTE06ERBS00001</t>
  </si>
  <si>
    <t xml:space="preserve">
TestBackup_new</t>
  </si>
  <si>
    <t>TestBackup</t>
  </si>
  <si>
    <t>View software Inventory from CLI (CPP/ECIM)</t>
  </si>
  <si>
    <t>View Lincense Inventory from CLI (CPP/ECIM)</t>
  </si>
  <si>
    <t>SimpleModule2</t>
  </si>
  <si>
    <t>SimpleModule2-1.1.fmx,wait5n10-1.0.fmx</t>
  </si>
  <si>
    <t>ImportFileName</t>
  </si>
  <si>
    <t>Link Name</t>
  </si>
  <si>
    <t>Link Desc</t>
  </si>
  <si>
    <t>Collection Name</t>
  </si>
  <si>
    <t>Create a link</t>
  </si>
  <si>
    <t>CTAF_TEST_LINK</t>
  </si>
  <si>
    <t>Delete a link</t>
  </si>
  <si>
    <t>Rendering of the applied leaf selection on map view for custom topology tree view</t>
  </si>
  <si>
    <t>GAT_Collection</t>
  </si>
  <si>
    <t>Product Number</t>
  </si>
  <si>
    <t>Product Revision</t>
  </si>
  <si>
    <t>GUI-SHM-4.15</t>
  </si>
  <si>
    <t>CXP9024418/6</t>
  </si>
  <si>
    <t>R80G27</t>
  </si>
  <si>
    <t>View Upgrade Packages on a Node from CLI</t>
  </si>
  <si>
    <t>Duplicate A Subscription</t>
  </si>
  <si>
    <t>Activate an UETR Subscription</t>
  </si>
  <si>
    <t>Duplicate a UETR Subscription</t>
  </si>
  <si>
    <t>Test_UETR_CREATE_SUBS1_Duplicate;Test_UETR_CREATE_SUBS2_Duplicate</t>
  </si>
  <si>
    <t>GAT testing;GAT testing</t>
  </si>
  <si>
    <t>Deactivate a UETR Subscription</t>
  </si>
  <si>
    <t>Bladeinformation</t>
  </si>
  <si>
    <t>BladeUserName</t>
  </si>
  <si>
    <t>BladePassword</t>
  </si>
  <si>
    <t>Host details</t>
  </si>
  <si>
    <t>SVC-1</t>
  </si>
  <si>
    <t>SCP-1</t>
  </si>
  <si>
    <t>litp-admin</t>
  </si>
  <si>
    <t>ImportFile</t>
  </si>
  <si>
    <t>BB46.txt</t>
  </si>
  <si>
    <t>key.zip</t>
  </si>
  <si>
    <t>Create a GPEH Subscription</t>
  </si>
  <si>
    <t>Edit an Inactive GPEH Subscription</t>
  </si>
  <si>
    <t>500;500</t>
  </si>
  <si>
    <t>Activate a GPEH Subscription</t>
  </si>
  <si>
    <t>Edit an Active GPEH Subscription</t>
  </si>
  <si>
    <t>Duplicate a GPEH Subscription</t>
  </si>
  <si>
    <t>Deactivate a GPEH Subscription</t>
  </si>
  <si>
    <t>CERT Name</t>
  </si>
  <si>
    <t>Credentials File Name</t>
  </si>
  <si>
    <t>FileName</t>
  </si>
  <si>
    <t>Configuration Root Request</t>
  </si>
  <si>
    <t>ENM_PKI_Root_CA.pem</t>
  </si>
  <si>
    <t>enmcred.txt</t>
  </si>
  <si>
    <t>Bulk Root Request</t>
  </si>
  <si>
    <t>CM Events NBI non-persistent filter queries</t>
  </si>
  <si>
    <t>CM Events NBI Persistent filter queries</t>
  </si>
  <si>
    <t>CmNodeHeartbeatSupervision_update_filter.json</t>
  </si>
  <si>
    <t>Duplicate Cell Trace Subscription</t>
  </si>
  <si>
    <t>Test Cell Trace Subs1</t>
  </si>
  <si>
    <t>Test Cell Trace Subs1_Duplicate</t>
  </si>
  <si>
    <t>GAT Testing1</t>
  </si>
  <si>
    <t>Create a Criteria Based Cell Trace Subscription</t>
  </si>
  <si>
    <t>CTAF_Cell Trace Criteria</t>
  </si>
  <si>
    <t>GAT Test</t>
  </si>
  <si>
    <t>Activate the CTUM Subscription</t>
  </si>
  <si>
    <t>CTUM</t>
  </si>
  <si>
    <t>Deactivate the CTUM Subscription</t>
  </si>
  <si>
    <t>Edit an Inactive CTUM Subscription</t>
  </si>
  <si>
    <t>TriggerEvents</t>
  </si>
  <si>
    <t>10;INTERNAL</t>
  </si>
  <si>
    <t>Import Dynamic file into live configuration using continue on error</t>
  </si>
  <si>
    <t>BB46_Userlevel_update.txt</t>
  </si>
  <si>
    <t>Import users from XML file</t>
  </si>
  <si>
    <t>createuser.xml</t>
  </si>
  <si>
    <t>Revocation for Import command</t>
  </si>
  <si>
    <t>revocation.txt</t>
  </si>
  <si>
    <t>Export CM data with a User Defined Filter and download</t>
  </si>
  <si>
    <t>dynamic</t>
  </si>
  <si>
    <t>Export CM data in 3GPP format or in Dynamic file format, download export file and remove export job</t>
  </si>
  <si>
    <t>FileType</t>
  </si>
  <si>
    <t>FDN</t>
  </si>
  <si>
    <t>Bulk Import REST NBI Import file into Live Configuration</t>
  </si>
  <si>
    <t>BB46_Node_Userlevel_update.txt</t>
  </si>
  <si>
    <t>Import File into Live Configuration</t>
  </si>
  <si>
    <t>SubNetwork=RadioNode1,ManagedElement=BB46</t>
  </si>
  <si>
    <t>Automatic alarm synchronization management - autoSync option disabled</t>
  </si>
  <si>
    <t>GUI-FM-MasterGat-3.3</t>
  </si>
  <si>
    <t>originalIP</t>
  </si>
  <si>
    <t>131.160.80.54</t>
  </si>
  <si>
    <t>Verify Heartbeat Supervision</t>
  </si>
  <si>
    <t>Automatically disconnect Idle or Inactive SSH Sessions on AMOS and Scripting VMs</t>
  </si>
  <si>
    <t>AMOSHost</t>
  </si>
  <si>
    <t>scp-1-amos</t>
  </si>
  <si>
    <t>Clean up old files from temporary folders on AMOS,Element Manager and Scripting VMs</t>
  </si>
  <si>
    <t>Amos_ElementManager_Scriptingvms_host</t>
  </si>
  <si>
    <t>scp-1-scripting,scp-1-amos,scp-1-elementmanager</t>
  </si>
  <si>
    <t>Export CM data in Dynamic format with and without user defined filter and download the export file</t>
  </si>
  <si>
    <t>UserDefinedFilter.txt</t>
  </si>
  <si>
    <t>Node_UserLabel_update.txt</t>
  </si>
  <si>
    <t>GUI-SHM-4.7</t>
  </si>
  <si>
    <t>Delete Upgrade Packages for nodes from CLI</t>
  </si>
  <si>
    <t>Launch Node CLI using Low privileged user and TBAC support from Network Explorer</t>
  </si>
  <si>
    <t>Test321</t>
  </si>
  <si>
    <t>Nodecliusername</t>
  </si>
  <si>
    <t>Nodeclipassword</t>
  </si>
  <si>
    <t>GAT- NODECLI-01: Node CLI will be launched from Network Explorer</t>
  </si>
  <si>
    <t>GAT- EM-02: Element Manager (CLI) will be launched from Network Explorer</t>
  </si>
  <si>
    <t>CSCF_Duplicate1;CSCF_Duplicate2</t>
  </si>
  <si>
    <t>GPEH_Testing1;GPEH_Testing2</t>
  </si>
  <si>
    <t>GPEH_Testing1_Duplicate;GPEH_Testing2_Duplicate</t>
  </si>
  <si>
    <t>GUI-SHM-3.21</t>
  </si>
  <si>
    <t>Software_packagename</t>
  </si>
  <si>
    <t>Delete Software Packages</t>
  </si>
  <si>
    <t>Package_Name</t>
  </si>
  <si>
    <t>Get Filter Types</t>
  </si>
  <si>
    <t>Launch AMOS from Network Explorer</t>
  </si>
  <si>
    <t>Element Manager for Radio Node will be launched from Network Explorer</t>
  </si>
  <si>
    <t>GAT- EM-01: Element Manager will be launched from Network Explorer</t>
  </si>
  <si>
    <t>GUI-FM-MasterGat-3.5</t>
  </si>
  <si>
    <t>Verify Alarm Auto Sync</t>
  </si>
  <si>
    <t>NHM-MAsterGAT-3.48</t>
  </si>
  <si>
    <t>GATKPITEST1</t>
  </si>
  <si>
    <t>Remove a Node to ENM belonging to Generic Subscription</t>
  </si>
  <si>
    <t>Testing_Subscription1</t>
  </si>
  <si>
    <t>GUI-SHM-3.29</t>
  </si>
  <si>
    <t>Internal Alarm for any Job Failure</t>
  </si>
  <si>
    <t>AContractor_role1</t>
  </si>
  <si>
    <t>GAT testing1</t>
  </si>
  <si>
    <t>ContinuousCellTraceSubscription</t>
  </si>
  <si>
    <t>BatteryBackup</t>
  </si>
  <si>
    <t>Test_CellTrace_CREATE_SUBS1</t>
  </si>
  <si>
    <t>CapacityUsage</t>
  </si>
  <si>
    <t>GAT_TEST</t>
  </si>
  <si>
    <t>Test_Statistical_CREATE_SUBS_with_criteria1</t>
  </si>
  <si>
    <t>BB6630</t>
  </si>
  <si>
    <t>svc-1-smrsserv</t>
  </si>
  <si>
    <t>GUI-SHM-3.30</t>
  </si>
  <si>
    <t>/ericsson/pib-scripts/etc/</t>
  </si>
  <si>
    <t>Housekeeping of Backup files stored in SMRS</t>
  </si>
  <si>
    <t>Verify Most problematic node by alarm count in alarm overview</t>
  </si>
  <si>
    <t>Verify Most problematic alarm type by count in alarm overview</t>
  </si>
  <si>
    <t>Operator User can’t edit Attributes</t>
  </si>
  <si>
    <t>CTAF_TP_Operator</t>
  </si>
  <si>
    <t>Operator_Role_Username</t>
  </si>
  <si>
    <t>Operator_Role_Password</t>
  </si>
  <si>
    <t>Alarm Clear</t>
  </si>
  <si>
    <t>MoType1</t>
  </si>
  <si>
    <t>MoType2</t>
  </si>
  <si>
    <t>NetworkExplorer-MAsterGAT-3.6</t>
  </si>
  <si>
    <t>ManagedElement</t>
  </si>
  <si>
    <t>NetworkElement</t>
  </si>
  <si>
    <t>Create, View, Update and Delete a Collection of Managed Objects</t>
  </si>
  <si>
    <t>NetworkExplorer-MAsterGAT-3.7</t>
  </si>
  <si>
    <t>Objective : Create, Execute and Delete a Saved Search</t>
  </si>
  <si>
    <t>ProjectName</t>
  </si>
  <si>
    <t>FENGSEL1_BBU_04</t>
  </si>
  <si>
    <t>Admin_Username</t>
  </si>
  <si>
    <t>Admin_Password</t>
  </si>
  <si>
    <t xml:space="preserve">USE AT YOUR OWN RISK. Be aware before running this .THIS will cleanup all the PMIC subscription,NHC collection ,SHM reports etc as per testcases will be deleted from system as part of cleanup .DO NOT PUT ANY USERNAME </t>
  </si>
  <si>
    <t>CTAFadmin</t>
  </si>
  <si>
    <t>Cleanup Existing Data In ENM</t>
  </si>
  <si>
    <t>LoginUserName</t>
  </si>
  <si>
    <t>Test_Link</t>
  </si>
  <si>
    <t>90.121.121.103</t>
  </si>
  <si>
    <t>90.121.121.101</t>
  </si>
  <si>
    <t>90.121.121.102</t>
  </si>
  <si>
    <t>90.121.121.100</t>
  </si>
  <si>
    <t>131.111.111.111</t>
  </si>
  <si>
    <t>131.160.100.40</t>
  </si>
  <si>
    <t>CLI-ClientScripting-3-2</t>
  </si>
  <si>
    <t>EUtranCellFDD</t>
  </si>
  <si>
    <t>pmUeCtxtFetchAttIntraEnbHoIn</t>
  </si>
  <si>
    <t>pmCellCatmEssShareDlMax</t>
  </si>
  <si>
    <t>Client_Host</t>
  </si>
  <si>
    <t>Client_Username</t>
  </si>
  <si>
    <t>Client_Password</t>
  </si>
  <si>
    <t>CLI-ClientScripting-3-7</t>
  </si>
  <si>
    <t>Mode</t>
  </si>
  <si>
    <t>GUI</t>
  </si>
  <si>
    <t>View Tree</t>
  </si>
  <si>
    <t>View Network Elements Attributes</t>
  </si>
  <si>
    <t>Administrator User can edit Attributes</t>
  </si>
  <si>
    <t>GUI-TopologyBrowser-00-Custom-3.7.robot</t>
  </si>
  <si>
    <t>GUI-TopologyBrowser-00-Custom-3.8.robot</t>
  </si>
  <si>
    <t>GUI-TopologyBrowser-00-Custom-3.9.robot</t>
  </si>
  <si>
    <t>GUI-TopologyBrowser-00-Custom-3.10.robot</t>
  </si>
  <si>
    <t>GUI-TopologyBrowser-00-Custom-3.11.robot</t>
  </si>
  <si>
    <t>GUI-TopologyBrowser-00-Custom-3.12.robot</t>
  </si>
  <si>
    <t>Launch Automatic ID Management from ENM launcher</t>
  </si>
  <si>
    <t>Perform a Manual Check Operation</t>
  </si>
  <si>
    <t>GUI-AIA-00-3.1.robot</t>
  </si>
  <si>
    <t>GUI-AIA-00-3.3.robot</t>
  </si>
  <si>
    <t>GUI-AIA-00-3.19.robot</t>
  </si>
  <si>
    <t>GUI-AIA-00-3.2.robot</t>
  </si>
  <si>
    <t>Modify multiple parameters on an MO class in Parameter Management GUI and save changes to</t>
  </si>
  <si>
    <t>GUI-CPM-00-3.3.robot</t>
  </si>
  <si>
    <t>GUI-CPM-00-3.1.robot</t>
  </si>
  <si>
    <t>GUI-CPM-00-3.2.robot</t>
  </si>
  <si>
    <t>GUI-CPM-00-3.4.robot</t>
  </si>
  <si>
    <t>Service affecting</t>
  </si>
  <si>
    <t>Node Support Information</t>
  </si>
  <si>
    <t>Mostly Supported by all type of nodes , in case of any node type incompatibility please check GAT document for respective TC.</t>
  </si>
  <si>
    <t>Comment</t>
  </si>
  <si>
    <t>Dependent on  GUI-AIA-00-3.2.robot</t>
  </si>
  <si>
    <t>List Modules Export</t>
  </si>
  <si>
    <t>List Loaded modules-FMX</t>
  </si>
  <si>
    <t>Stop the rule trace</t>
  </si>
  <si>
    <t>Export rule trace to CSV file</t>
  </si>
  <si>
    <t>Clear the rule trace</t>
  </si>
  <si>
    <t>GUI-FMX-00-3.1.15.robot</t>
  </si>
  <si>
    <t>GUI-FMX-00-3.1.16.robot</t>
  </si>
  <si>
    <t>GUI-FMX-00-3.1.17.robot</t>
  </si>
  <si>
    <t>GUI-FMX-00-3.1.7.robot</t>
  </si>
  <si>
    <t>GUI-FMX-00-3.1.6.robot</t>
  </si>
  <si>
    <t>CLI-FMX-00-3.2.6.robot</t>
  </si>
  <si>
    <t>GUI-FMX-00-3.1.8.robot</t>
  </si>
  <si>
    <t>List Modules Archive</t>
  </si>
  <si>
    <t>Dependent on 3.1.13</t>
  </si>
  <si>
    <t>Dependent on 3.1.22</t>
  </si>
  <si>
    <t>Dependent On 3.1.9</t>
  </si>
  <si>
    <t>Dependent On 3.1.12</t>
  </si>
  <si>
    <t>Dependent On 3.1.10</t>
  </si>
  <si>
    <t>Launch Cell Management GUI</t>
  </si>
  <si>
    <t>GUI-CellManagement-00-3.1.7.robot</t>
  </si>
  <si>
    <t>CLI</t>
  </si>
  <si>
    <t>Yes</t>
  </si>
  <si>
    <t>View Latest Logs</t>
  </si>
  <si>
    <t>View Log details in Details Panel</t>
  </si>
  <si>
    <t>View Logs filtered by timestamp</t>
  </si>
  <si>
    <t xml:space="preserve">	View Logs filtered by Severity</t>
  </si>
  <si>
    <t xml:space="preserve">	Configure Columns displayed on Log Viewer</t>
  </si>
  <si>
    <t xml:space="preserve">	Launch of online ‘Help’ from Log Viewer</t>
  </si>
  <si>
    <t xml:space="preserve">	Switch To Search Box</t>
  </si>
  <si>
    <t>Export</t>
  </si>
  <si>
    <t>GUI-LogViewer-00-3.1.robot</t>
  </si>
  <si>
    <t>GUI-LogViewer-00-3.2.robot</t>
  </si>
  <si>
    <t>GUI-LogViewer-00-3.3.robot</t>
  </si>
  <si>
    <t>GUI-LogViewer-00-3.4.robot</t>
  </si>
  <si>
    <t>GUI-LogViewer-00-3.5.robot</t>
  </si>
  <si>
    <t>GUI-LogViewer-00-3.6.robot</t>
  </si>
  <si>
    <t>GUI-LogViewer-00-3.7.robot</t>
  </si>
  <si>
    <t>GUI-LogViewer-00-3.8.robot</t>
  </si>
  <si>
    <t>GUI-LogViewer-00-Custom-04.robot</t>
  </si>
  <si>
    <t>GUI-FMX-00-3.1.18.robot</t>
  </si>
  <si>
    <t>GUI-FMX-00-3.1.19.robot</t>
  </si>
  <si>
    <t>GUI-FMX-00-3.1.20.robot</t>
  </si>
  <si>
    <t>GUI-FMX-00-3.1.21.robot</t>
  </si>
  <si>
    <t>GUI-FMX-00-3.1.22.robot</t>
  </si>
  <si>
    <t>GUI-FMX-00-3.1.23.robot</t>
  </si>
  <si>
    <t>GUI-IDAM-01-3.1.robot</t>
  </si>
  <si>
    <t>System Security Configuration – Modify Password Policies</t>
  </si>
  <si>
    <t>User Management - Create a User</t>
  </si>
  <si>
    <t>GUI-IDAM-02-3.04.robot</t>
  </si>
  <si>
    <t>GUI-IDAM-11-3.12.robot</t>
  </si>
  <si>
    <t>GUI-IDAM-02-3.11.robot</t>
  </si>
  <si>
    <t>GUI-IDAM-03-3.7.robot</t>
  </si>
  <si>
    <t>GUI-IDAM-04-3.5.robot</t>
  </si>
  <si>
    <t>GUI-IDAM-03-3.9.robot</t>
  </si>
  <si>
    <t>GUI-NHC-01-4.1.robot</t>
  </si>
  <si>
    <t>GUI-NHC-02-4.5.robot</t>
  </si>
  <si>
    <t>GUI-NHC-02-4.2.robot</t>
  </si>
  <si>
    <t>GUI-NHC-00-4.9.robot</t>
  </si>
  <si>
    <t>GUI-NHC-01-4.11.robot</t>
  </si>
  <si>
    <t>GUI-NHC-00-3.9.robot</t>
  </si>
  <si>
    <t>GUI-NHC-00-3.10.robot</t>
  </si>
  <si>
    <t>Context Based Help</t>
  </si>
  <si>
    <t>Deleting Acceptance Criteria</t>
  </si>
  <si>
    <t xml:space="preserve">Run NHC with Default Acceptance Criteria </t>
  </si>
  <si>
    <t>Run NHC with Custom Acceptance Criteria</t>
  </si>
  <si>
    <t>Run NHC Comparison</t>
  </si>
  <si>
    <t>Python based</t>
  </si>
  <si>
    <t>Macro ERBS , Micro ERBS , RBS</t>
  </si>
  <si>
    <t>Macro ERBS , Micro ERBS , RBS , MGW</t>
  </si>
  <si>
    <t>Node independent</t>
  </si>
  <si>
    <t>NHC Reports Housekeeping</t>
  </si>
  <si>
    <t>CLI-NHC-00-4.3.robot</t>
  </si>
  <si>
    <t>NetworkViewer-MAsterGAT-3.1</t>
  </si>
  <si>
    <t>NetworkViewer-MAsterGAT-3.2</t>
  </si>
  <si>
    <t>NetworkViewer-MAsterGAT-3.3</t>
  </si>
  <si>
    <t>NetworkViewer-MAsterGAT-3.4</t>
  </si>
  <si>
    <t>NetworkViewer-MAsterGAT-3.13</t>
  </si>
  <si>
    <t>NetworkViewer-MAsterGAT-3.15</t>
  </si>
  <si>
    <t>NetworkViewer-MAsterGAT-3.16</t>
  </si>
  <si>
    <t>Dependent on 3.26</t>
  </si>
  <si>
    <t>Supported only by Normalized Network Elements as per GAT document</t>
  </si>
  <si>
    <t>Supported by all type of nodes as per GAT document</t>
  </si>
  <si>
    <t>SecurityPKI_MasterGAT_4.9</t>
  </si>
  <si>
    <t>SecurityPKI_MasterGAT_5.2</t>
  </si>
  <si>
    <t>SecurityPKI_MasterGAT_6.5</t>
  </si>
  <si>
    <t>SecurityPKI_MasterGAT_6.6</t>
  </si>
  <si>
    <t>SecurityPKI_MasterGAT_8.1</t>
  </si>
  <si>
    <t>SecurityPKI_MasterGAT_8.2</t>
  </si>
  <si>
    <t>SecurityPKI_MasterGAT_8.3</t>
  </si>
  <si>
    <t>SecurityPKI_MasterGAT_8.4</t>
  </si>
  <si>
    <t>SecurityPKI_MasterGAT_10.1</t>
  </si>
  <si>
    <t>Create Health Check Profile with Nhc_Administrator role</t>
  </si>
  <si>
    <t>View Health Check Profile with Nhc_Administrator and Nhc_Operator role</t>
  </si>
  <si>
    <t>Create Node Health Check Reports with Nhc_Administrator role</t>
  </si>
  <si>
    <t xml:space="preserve">Delete Node Health Check reports with Nhc_Administrator </t>
  </si>
  <si>
    <t>View Health Check Reports with Nhc_Administrator/Nhc_Operator role</t>
  </si>
  <si>
    <t>Rendering of the alarm state of the node on geographical and logical view</t>
  </si>
  <si>
    <t>Invocation of the Add Node application on geographical view</t>
  </si>
  <si>
    <t>Invocation of the Delete Node operation on geographical and logical view</t>
  </si>
  <si>
    <t>Invocation of the Alarm Monitor on selected node on geographical and logical view</t>
  </si>
  <si>
    <t>Invocation of the Topology Browser application on geographical and logical view</t>
  </si>
  <si>
    <t>Invocation of the Element Manager application on geographical and logical view</t>
  </si>
  <si>
    <t>Invocation of the Add Node application in Custom Topology tree</t>
  </si>
  <si>
    <t>Invocation of the Delete Node operation in Custom Topology tree</t>
  </si>
  <si>
    <t>Delete all links of a node</t>
  </si>
  <si>
    <t>Invocation of the Alarm Monitor for related nodes on geographical and logical view</t>
  </si>
  <si>
    <t xml:space="preserve">Initial display of network resources </t>
  </si>
  <si>
    <t>Rendering of the applied selection on geographical view</t>
  </si>
  <si>
    <t>Rendering of the applied selection on logical view</t>
  </si>
  <si>
    <t>Zooming on the geographical and logical view</t>
  </si>
  <si>
    <t>Viewing the relationships between nodes on geographical and logical view</t>
  </si>
  <si>
    <t>Initial display of network resources for custom topology</t>
  </si>
  <si>
    <t>Rendering of the applied node selection on map view for custom topology tree view.</t>
  </si>
  <si>
    <t>Access to Network Explorer Search from Topology Browser</t>
  </si>
  <si>
    <t>User can copy and paste FDN path across applications</t>
  </si>
  <si>
    <t>Action Bar Launch Tests: 
 - Run Node HealthCheck (*Except BSC)</t>
  </si>
  <si>
    <t>Action Bar Launch Tests: 
 - View Cells (*Except BSC)</t>
  </si>
  <si>
    <t>Action Bar Launch Tests: 
 - Launch Element Manager</t>
  </si>
  <si>
    <t>Action Bar Launch Tests: 
 - Launch AMOS</t>
  </si>
  <si>
    <t>Action Bar Launch Tests: 
 - Launch Node CLI</t>
  </si>
  <si>
    <t>Action Bar Launch Tests: 
 - Monitor Alarms
 - Monitor This Node
 - View SW Inventory
 - View Licence Inventory
 - View Hardware Inventory
 - View Backup Inventory</t>
  </si>
  <si>
    <t>Node Security commands to get nodes credentials with password encrypted - positive scenarios</t>
  </si>
  <si>
    <t>Node Security commands to get nodes credentials with password encrypted - negative scenarios</t>
  </si>
  <si>
    <t>Node Security commands to get nodes credentials with password in plain text - positive scenarios</t>
  </si>
  <si>
    <t>Node Security commands to get nodes credentials with password in plain text - negative scenarios</t>
  </si>
  <si>
    <t>Set ciphers and Get ciphers on Com/ECIM nodes</t>
  </si>
  <si>
    <t>Southbound HTTP load-balancer base implementation and deployment - IPv4 Ports (This test is apllicable only to Physical ENM)</t>
  </si>
  <si>
    <t>Get Security Level status all NetworkElements</t>
  </si>
  <si>
    <t>Credm Web CLI to list existing Services and Certificates</t>
  </si>
  <si>
    <t xml:space="preserve">	Credm Web CLI to list existing Services and Certificates</t>
  </si>
  <si>
    <t>Insert new correct trust profile</t>
  </si>
  <si>
    <t>Insert new correct ca entity</t>
  </si>
  <si>
    <t>SecurityPKI_MasterGAT_14.2</t>
  </si>
  <si>
    <t>Distribution of LAAD files on the node</t>
  </si>
  <si>
    <t>GUI-SecurityPKI-00-7.13.robot</t>
  </si>
  <si>
    <t>MRS</t>
  </si>
  <si>
    <t>CPP,Radio Node,vSAPC,MSRBS V1,FH6080,SBG,CSCF,MTAS,RadioT Node,BSP,DSC,Router6672/75/6274/6x71/6273,(v)IPWorks,VTFRadio Node,5GRadioNode,vPP,HLR-FE/MSC,MRS,UDM/SC/EDA,vTIF,ESC/SCU,FH6020</t>
  </si>
  <si>
    <t>CPP,Radio Node,vSAPC,FH6080,SBG,CSCF,MTAS,RadioT Node,VTFRadio Node,5GRadioNode,vPP,HLR-FE/MSC,MRS,UDM/SC/EDA,vTIF,ESC/SCU,vRC,FH6020</t>
  </si>
  <si>
    <t>CPP,Radio Node,vSAPC,EPG/VEPG,FH6080,SBG,CSCF,MTAS,RadioT Node,BSP,DSC,Router6672/75/6274/6x71/6273,(v)IPWorks,VTFRadio Node,5GRadioNode,vPP,HLR-FE/MSC,MRS,UDM/SC/EDA,vTIF,ESC/SCU,vRC,FH6020</t>
  </si>
  <si>
    <t>CPP,Radio Node,vSAPC,EPG/VEPG,FH6080,SBG,CSCF,MTAS,RadioT Node,VTFRadio Node,5GRadioNode,vPP,HLR-FE/MSC,MRS,UDM/SC/EDA,vTIF,ESC/SCU,vRC,FH6020</t>
  </si>
  <si>
    <t>Radio Node,Router6672/75/6274/6x71/6273,vTIF,,FH6020</t>
  </si>
  <si>
    <t>GUI-BC-00-3.1.robot</t>
  </si>
  <si>
    <t>GUI-BC-01-3.2.robot</t>
  </si>
  <si>
    <t>NO</t>
  </si>
  <si>
    <t>Need to import configuration.txt file of the node.</t>
  </si>
  <si>
    <t>CLI-ConfigurationManagement-00-3.1.robot</t>
  </si>
  <si>
    <t>CLI-ConfigurationManagement-00-4.1.robot</t>
  </si>
  <si>
    <t>CLI-ConfigurationManagement-00-9.1.robot</t>
  </si>
  <si>
    <t>CLI-ConfigurationManagement-00-9.2.robot</t>
  </si>
  <si>
    <t>CLI-ConfigurationManagement-00-5.4.robot</t>
  </si>
  <si>
    <t>CLI-ConfigurationManagement-00-3.6.robot</t>
  </si>
  <si>
    <t>CLI-ConfigurationManagement-00-7.1.robot</t>
  </si>
  <si>
    <t>CLI-ConfigurationManagement-00-6.1.robot</t>
  </si>
  <si>
    <t>CLI-ConfigurationManagement-00-6.2.robot</t>
  </si>
  <si>
    <t>SA depending on imported file content</t>
  </si>
  <si>
    <t>GUI-ClientScripting-00-3.1.robot</t>
  </si>
  <si>
    <t>CLI-ClientScripting-00-3.2.robot</t>
  </si>
  <si>
    <t>CLI-ClientScripting-00-3.3.robot</t>
  </si>
  <si>
    <t>CLI-ClientScripting-00-3.4.robot</t>
  </si>
  <si>
    <t>CLI-ClientScripting-00-3.5.robot</t>
  </si>
  <si>
    <t>CLI-ClientScripting-00-3.6.robot</t>
  </si>
  <si>
    <t>CLI-ClientScripting-00-3.7.robot</t>
  </si>
  <si>
    <t>CLI-ClientScripting-00-3.8.robot</t>
  </si>
  <si>
    <t>CLI-ClientScripting-00-3.9.robot</t>
  </si>
  <si>
    <t>CLI-ClientScripting-00-3.10.robot</t>
  </si>
  <si>
    <t>CLI-ClientScripting-3.3</t>
  </si>
  <si>
    <t>CLI-ClientScripting-3.4</t>
  </si>
  <si>
    <t>CLI-ClientScripting-3.5</t>
  </si>
  <si>
    <t>CLI-ClientScripting-3.6</t>
  </si>
  <si>
    <t>CLI-ClientScripting-3.8</t>
  </si>
  <si>
    <t>CLI-ClientScripting-3.9</t>
  </si>
  <si>
    <t>GUI-ClientScripting-3.1</t>
  </si>
  <si>
    <t>CLI-ClientScripting-3.10</t>
  </si>
  <si>
    <t>Install ENM Scripting Support Library</t>
  </si>
  <si>
    <t>Use ENM Scripting Support Library to execute a simple command
using command API and using SSO token for authentication</t>
  </si>
  <si>
    <t>Use ENM Scripting Support Library to execute a simple command
using terminal API</t>
  </si>
  <si>
    <t>Use ENM Scripting Support Library to execute a simple command
using command API</t>
  </si>
  <si>
    <t>Use ENM Scripting Support Library to execute a command that uploads a file</t>
  </si>
  <si>
    <t>Use ENM Scripting Support Library to execute a command that
downloads a file</t>
  </si>
  <si>
    <t>Use ENM Scripting Support Library to execute a simple command
using command API from VM</t>
  </si>
  <si>
    <t>Use ENM Scripting Support Library to execute a command that
uploads a file from VM</t>
  </si>
  <si>
    <t>Use ENM Scripting Support Library to execute a command that
downloads a file from VM</t>
  </si>
  <si>
    <t>Download ENM Scripting Support Library</t>
  </si>
  <si>
    <t>Dependent On GUI-ClientScripting-00-3.1.robot</t>
  </si>
  <si>
    <t>GUI-CMCLI-00-4.1.robot</t>
  </si>
  <si>
    <t>GUI-CMCLI-00-4.2.robot</t>
  </si>
  <si>
    <t>CLI-CMCLI-00-9.1.robot</t>
  </si>
  <si>
    <t>GUI-CMCLI-00-6.1.robot</t>
  </si>
  <si>
    <t>GUI-CMCLI-00-5.2.robot</t>
  </si>
  <si>
    <t>GUI-CMCLI-00-8.1.robot</t>
  </si>
  <si>
    <t>CMCLI_MasterGAT_3.1</t>
  </si>
  <si>
    <t>Read Modelled Data of a Managed Object</t>
  </si>
  <si>
    <t>CMCLI_MasterGAT_5.1</t>
  </si>
  <si>
    <t>Export CM data in 3GPP format with and without user defined filter and download the export file</t>
  </si>
  <si>
    <t>GUI-CMCLI-00-3.1.robot</t>
  </si>
  <si>
    <t>GUI-CMCLI-00-5.1.robot</t>
  </si>
  <si>
    <t>CMCLI-Custom_01</t>
  </si>
  <si>
    <t>Read non-persistent attributes</t>
  </si>
  <si>
    <t>GUI-CMCLI-00-Custom-01.robot</t>
  </si>
  <si>
    <t>Cmedit Get and set [ Update NE attributes from CLI]</t>
  </si>
  <si>
    <t>Cmedit Create &amp; Delete Commands [ Update NE attributes from CLI]</t>
  </si>
  <si>
    <t>GUI-SHM-00-3.1.robot</t>
  </si>
  <si>
    <t>GUI-SHM-00-3.3.robot</t>
  </si>
  <si>
    <t>GUI-SHM-00-3.4.robot</t>
  </si>
  <si>
    <t>GUI-SHM-00-3.5.robot</t>
  </si>
  <si>
    <t>GUI-SHM-00-3.13.robot</t>
  </si>
  <si>
    <t>GUI-SHM-00-3.36.robot</t>
  </si>
  <si>
    <t>GUI-SHM-00-3.2.robot</t>
  </si>
  <si>
    <t>GUI-SHM-00-3.32.robot</t>
  </si>
  <si>
    <t>GUI-SHM-00-3.33.robot</t>
  </si>
  <si>
    <t>GUI-SHM-00-3.34.robot</t>
  </si>
  <si>
    <t>GUI-SHM-00-3.19.robot</t>
  </si>
  <si>
    <t>GUI-SHM-00-3.24.robot</t>
  </si>
  <si>
    <t>GUI-SHM-00-3.12A.robot</t>
  </si>
  <si>
    <t>GUI-SHM-00-3.12B.robot</t>
  </si>
  <si>
    <t>GUI-SHM-00-3.37.robot</t>
  </si>
  <si>
    <t>GUI-SHM-00-3.23.robot</t>
  </si>
  <si>
    <t>GUI-SHM-00-4.1.robot</t>
  </si>
  <si>
    <t>GUI-SHM-00-4.2.robot</t>
  </si>
  <si>
    <t>GUI-SHM-00-3.28.robot</t>
  </si>
  <si>
    <t>GUI-SHM-00-4.8.robot</t>
  </si>
  <si>
    <t>GUI-SHM-00-3.35.robot</t>
  </si>
  <si>
    <t>GUI-SHM-00-4.15.robot</t>
  </si>
  <si>
    <t>GUI-SHM-00-4.7.robot</t>
  </si>
  <si>
    <t>GUI-SHM-00-3.21.robot</t>
  </si>
  <si>
    <t>GUI-SHM-00-3.29.robot</t>
  </si>
  <si>
    <t>GUI-SHM-00-4.3.robot</t>
  </si>
  <si>
    <t>GUI-SHM-00-4.4.robot</t>
  </si>
  <si>
    <t>GUI-SHM-03-3.25.robot</t>
  </si>
  <si>
    <t>CLI-SHM-00-3.30.robot</t>
  </si>
  <si>
    <t>SHM_MasterGAT_4.9</t>
  </si>
  <si>
    <t>Activation of unlock from cli for nodes</t>
  </si>
  <si>
    <t>SHM_MasterGAT_4.5</t>
  </si>
  <si>
    <t>Import Software Packages from CLI</t>
  </si>
  <si>
    <t>SHM_MasterGAT_4.6</t>
  </si>
  <si>
    <t>Import_License_Key_Files_from_CLI</t>
  </si>
  <si>
    <t>GUI-SHM-00-3.6.robot</t>
  </si>
  <si>
    <t>GUI-SHM-3.6</t>
  </si>
  <si>
    <t>Import and View Software Packages</t>
  </si>
  <si>
    <t>GUI-SHM-00-4.13.robot</t>
  </si>
  <si>
    <t>View Job status from CLI</t>
  </si>
  <si>
    <t>SHM_MasterGAT_4.13</t>
  </si>
  <si>
    <t>GUI-SHM-00-3.27.robot</t>
  </si>
  <si>
    <t>Add Job Comments with Shm_Administrator role</t>
  </si>
  <si>
    <t>SHM_MasterGAT_3.27</t>
  </si>
  <si>
    <t>GUI-SHM-00-3.26.robot</t>
  </si>
  <si>
    <t xml:space="preserve">Export Job Logs with Shm_Administrator role </t>
  </si>
  <si>
    <t>SHM_MasterGAT_3.26</t>
  </si>
  <si>
    <t>Dependent on 3.13</t>
  </si>
  <si>
    <t>Dependent on 3.23</t>
  </si>
  <si>
    <t>Dependent on 3.28 and 3.23</t>
  </si>
  <si>
    <r>
      <rPr>
        <sz val="9"/>
        <color theme="1"/>
        <rFont val="Bookman Old Style"/>
        <family val="1"/>
      </rPr>
      <t>All type of Nodes are supported</t>
    </r>
    <r>
      <rPr>
        <b/>
        <sz val="9"/>
        <color theme="1"/>
        <rFont val="Bookman Old Style"/>
        <family val="1"/>
      </rPr>
      <t xml:space="preserve"> except MGW,Baseband Radio node,SGSN-MME,vMME	, Baseband T Node , SAPC, Pico RBS6402, MINI-LINK Indoor(Mini-link-TN,Mini-link-LH),Router6672,JUNIPER-MX, JUNIPER-PTX, JUNIPER-SRX, JUNIPER-vMX, JUNIPER-vSRX,HSS-FE/vHSS-FE,vSD,vPP,RVNFM,Router6x71,RNFVO,Fronthaul6020,VTFRadioNode,Router6274,5GRadioNode,Router6273,HPE-NFV-Director,BSC,HLR-FE-BSP,HLR-FE-IS,HLR-FE,vHLR-FE,IP-STP-BSP,IP-STP,MSC-BC-BSP,MSC-BC-IS, MSC-DB-BSP, MSC-DB, vMSC-HC, vMSC, vIP-STP ,Mini-link-669X, Mini-link-665X, Mini-link6366, Mini-link-CN210, Mini-link-CN510R1, Mini-link-CN510R2, Mini-link-CN810R1, Mini-link-CN810R2, MINI-LINK Outdoor(ML-6351, ML-6352, PT-2020, Switch-6391, FrontHaul-6392), NeLS, vTIF</t>
    </r>
  </si>
  <si>
    <r>
      <rPr>
        <sz val="9"/>
        <color theme="1"/>
        <rFont val="Bookman Old Style"/>
        <family val="1"/>
      </rPr>
      <t>All type of Nodes are supported</t>
    </r>
    <r>
      <rPr>
        <b/>
        <sz val="9"/>
        <color theme="1"/>
        <rFont val="Bookman Old Style"/>
        <family val="1"/>
      </rPr>
      <t xml:space="preserve"> except MGW,vMME,Baseband T Node(IPv6),SAPC,PicoRBS6402(IPv6), MINI-LINKIndoor,JUNIPER-MX, JUNIPER-PTX, JUNIPER-SRX, JUNIPER-vMX, JUNIPER-Vsrx,SBG/vSBG(IPv6),CSCF/vCSCF,MTAS/vMTAS(IPv6),IPWorks/vIPWorks,BGF/vBGF,BSP(IPv6),vMRF,HSS-FE/vHSS-FE(IPv6), ,HPE-NFV-Director,BSC,HLR-FE-BSP,HLR-FE-IS,HLR-FE,vHLR-FE,IP-STP-BSP,IP-STP,MSC-BC-BSP,MSC-BC-IS, MSC-DB-BSP, MSC-DB, vMSC-HC, vMSC, vIP-STP,Mini-link-669X, Mini-link-665X, Mini-link6366, Mini-link-CN210, Mini-link-CN510R1, Mini-link-CN510R2, Mini-link-CN810R1, Mini-link-CN810R2, MINI-LINK Outdoor(ML-6351, ML-6352, PT-2020, Switch-6391, FrontHaul-6392),NeLS</t>
    </r>
  </si>
  <si>
    <r>
      <rPr>
        <sz val="9"/>
        <color theme="1"/>
        <rFont val="Bookman Old Style"/>
        <family val="1"/>
      </rPr>
      <t>All type of Nodes are supported</t>
    </r>
    <r>
      <rPr>
        <b/>
        <sz val="9"/>
        <color theme="1"/>
        <rFont val="Bookman Old Style"/>
        <family val="1"/>
      </rPr>
      <t xml:space="preserve"> except MGW,vMME,Baseband T Node(IPv6),SAPC,PicoRBS6402,MINI-LINKIndoor,JUNIPER-MX, JUNIPER-PTX, JUNIPER-SRX, JUNIPER-vMX, JUNIPER-Vsrx, SBG/vSBG(IPv6),CSCF/vCSCF(IPv6),MTAS/vMTAS(IPv6),IPWorks/vIPWorks,BGF/vBGF,BSP,vMRF,Fronthaul6080,HSS-FE/vHSS-FE,vSD,vPP,RVNFM,RNFVO,Fronthaul6020,HPE-NFV-Director,Mini-link-669X, Mini-link-665X, Mini-link6366, Mini-link-CN210, Mini-link-CN510R1, Mini-link-CN510R2, Mini-link-CN810R1, Mini-link-CN810R2, MINI-LINK Outdoor(ML-6351, ML-6352, PT-2020, Switch-6391, FrontHaul-6392), NeLS, vTIF</t>
    </r>
  </si>
  <si>
    <r>
      <rPr>
        <sz val="9"/>
        <color theme="1"/>
        <rFont val="Bookman Old Style"/>
        <family val="1"/>
      </rPr>
      <t>All type of Nodes are supported</t>
    </r>
    <r>
      <rPr>
        <b/>
        <sz val="9"/>
        <color theme="1"/>
        <rFont val="Bookman Old Style"/>
        <family val="1"/>
      </rPr>
      <t xml:space="preserve"> except MGW,vMME(IPV6), Baseband T Node , SAPC, Pico RBS6402, MINI-LINK Indoor(Mini-link-TN,Mini-link-LH),Router6672,JUNIPER-MX, JUNIPER-PTX, JUNIPER-SRX, JUNIPER-vMX, JUNIPER-vSRX,SBG/vSBG(IPv6),CSCF/vCSCF(IPv6),MTAS/vMTAS(IPv6),IPWorks/vIPWorks,BGF/vBGF,BSP(IPv6),vMRF,Router6675,HSS-FE/vHSS-FE(IPv6),RVNFM,RNFVO,,HPE-NFV-Director,BSC,HLR-FE-BSP,HLR-FE-IS,HLR-FE,vHLR-FE,IP-STP-BSP,IP-STP,MSC-BC-BSP,MSC-BC-IS, MSC-DB-BSP, MSC-DB, vMSC-HC, vMSC, vIP-STP ,Mini-link-669X, Mini-link-665X, Mini-link6366, Mini-link-CN210, Mini-link-CN510R1, Mini-link-CN510R2, Mini-link-CN810R1, Mini-link-CN810R2, MINI-LINK Outdoor(ML-6351, ML-6352, PT-2020, Switch-6391, FrontHaul-6392),NeLS</t>
    </r>
  </si>
  <si>
    <r>
      <rPr>
        <sz val="9"/>
        <color theme="1"/>
        <rFont val="Bookman Old Style"/>
        <family val="1"/>
      </rPr>
      <t>All type of Nodes are supported</t>
    </r>
    <r>
      <rPr>
        <b/>
        <sz val="9"/>
        <color theme="1"/>
        <rFont val="Bookman Old Style"/>
        <family val="1"/>
      </rPr>
      <t xml:space="preserve"> except MGW,vMME,Baseband T Node(IPv6),SAPC,PicoRBS6402(IPv6), MINI-LINKIndoor,JUNIPER-MX, JUNIPER-PTX, JUNIPER-SRX, JUNIPER-vMX, JUNIPER-Vsrx,CSCF/vCSCF(IPv6),MTAS/vMTAS(IPv6),IPWorks/vIPWorks,BGF/vBGF,BSP,vMRF,HSS-FE/vHSS-FE(IPv6),RNFVO,HPE-NFV-Director,BSC,HLR-FE-BSP,HLR-FE-IS,HLR-FE,vHLR-FE,IP-STP-BSP,IP-STP,MSC-BC-BSP,MSC-BC-IS, MSC-DB-BSP, MSC-DB, vMSC-HC, vMSC, vIP-STPMini-link-669X, Mini-link-665X, Mini-link6366, Mini-link-CN210, Mini-link-CN510R1, Mini-link-CN510R2, Mini-link-CN810R1, Mini-link-CN810R2</t>
    </r>
  </si>
  <si>
    <r>
      <rPr>
        <sz val="9"/>
        <color theme="1"/>
        <rFont val="Bookman Old Style"/>
        <family val="1"/>
      </rPr>
      <t>All type of Nodes are supported</t>
    </r>
    <r>
      <rPr>
        <b/>
        <sz val="9"/>
        <color theme="1"/>
        <rFont val="Bookman Old Style"/>
        <family val="1"/>
      </rPr>
      <t xml:space="preserve"> except vMME(IPv6), Baseband T Node(IPv6), SAPC, PicoRBS6402(IPv6),JUNIPER-MX, JUNIPER-PTX, JUNIPER-SRX, JUNIPER-vMX, JUNIPER-vSRX,CSCF/vCSCF(IPv6),IPWorks/vIPWorks(IPv6),BGF/vBGF,BSP(IPv6),vMRF, gNodeBBasebandRadioNode,HSS-FE/vHSS-FE(IPv6),RNFVO,HPE-NFV-DirectorMini-link-669X, Mini-link-665X, Mini-link6366, Mini-link-CN210, Mini-link-CN510R1, Mini-link-CN510R2, Mini-link-CN810R1, Mini-link-CN810R2</t>
    </r>
  </si>
  <si>
    <r>
      <rPr>
        <sz val="9"/>
        <color theme="1"/>
        <rFont val="Bookman Old Style"/>
        <family val="1"/>
      </rPr>
      <t>All type of Nodes are supported</t>
    </r>
    <r>
      <rPr>
        <b/>
        <sz val="9"/>
        <color theme="1"/>
        <rFont val="Bookman Old Style"/>
        <family val="1"/>
      </rPr>
      <t xml:space="preserve"> except vMME(IPv6), Baseband T Node(IPv6), SAPC, PicoRBS6402(IPv6),CSCF/vCSCF(IPv6),MTAS/vMTAS(IPv6),IPWorks/vIPWorks,BGF/vBGF,BSP,vMRF,gNodeBBasebandRadioNode,HSS-FE/vHSS-FE,vSD,vPP,RVNFM, vMSC-HC, vMSC, vIP-STP, MRS, NeLS, vTIF</t>
    </r>
  </si>
  <si>
    <r>
      <rPr>
        <sz val="9"/>
        <color theme="1"/>
        <rFont val="Bookman Old Style"/>
        <family val="1"/>
      </rPr>
      <t>All type of Nodes are supported</t>
    </r>
    <r>
      <rPr>
        <b/>
        <sz val="9"/>
        <color theme="1"/>
        <rFont val="Bookman Old Style"/>
        <family val="1"/>
      </rPr>
      <t xml:space="preserve"> except vMME(IPv6), Baseband T Node(IPv6), SAPC, PicoRBS6402(IPv6)CSCF/vCSCF(IPv6),MTAS/vMTAS(IPv6),IPWorks/vIPWorks,BGF/vBGF,BSP,vMRF,gNodeBBasebandRadioNode,HSS-FE/vHSS-FE,RVNFMMini-link-669X, Mini-link-665X, Mini-link6366, Mini-link-CN210, Mini-link-CN510R1, Mini-link-CN510R2, Mini-link-CN810R1, Mini-link-CN810R2, MRS, NeLS</t>
    </r>
  </si>
  <si>
    <r>
      <rPr>
        <sz val="9"/>
        <color theme="1"/>
        <rFont val="Bookman Old Style"/>
        <family val="1"/>
      </rPr>
      <t xml:space="preserve">All type of Nodes are supported </t>
    </r>
    <r>
      <rPr>
        <b/>
        <sz val="9"/>
        <color theme="1"/>
        <rFont val="Bookman Old Style"/>
        <family val="1"/>
      </rPr>
      <t>except vMME(IPv6), Baseband T Node(IPv6), SAPC, PicoRBS6402(IPv6),JUNIPER-MX, JUNIPER-PTX, JUNIPER-SRX, JUNIPER-vMX, JUNIPER-vSRX, CSCF/vCSCF(IPv6),IPWorks/vIPWorks(IPv6),BGF/vBGF,BSP,vMRF,HSS-FE/vHSS-FE(IPv6)</t>
    </r>
  </si>
  <si>
    <r>
      <rPr>
        <sz val="9"/>
        <color theme="1"/>
        <rFont val="Bookman Old Style"/>
        <family val="1"/>
      </rPr>
      <t>All type of Nodes are supported</t>
    </r>
    <r>
      <rPr>
        <b/>
        <sz val="9"/>
        <color theme="1"/>
        <rFont val="Bookman Old Style"/>
        <family val="1"/>
      </rPr>
      <t xml:space="preserve"> except vMME(IPv6), Baseband T Node(IPv6), SAPC, PicoRBS6402(IPv6), MINI-LINKIndoor,JUNIPER-MX, JUNIPER-PTX, JUNIPER-SRX, JUNIPER-vMX, JUNIPER-vSRX,CSCF/vCSCF(IPv6),BGF/vBGF,BSP(IPv6),vMRF, HSS-FE/vHSS-FE(IPv6),RNFVO,HPE-NFV-DirectorMini-link-669X, Mini-link-665X, Mini-link6366, Mini-link-CN210, Mini-link-CN510R1, Mini-link-CN510R2, Mini-link-CN810R1, Mini-link-CN810R2</t>
    </r>
  </si>
  <si>
    <r>
      <t xml:space="preserve"> </t>
    </r>
    <r>
      <rPr>
        <sz val="9"/>
        <color theme="1"/>
        <rFont val="Bookman Old Style"/>
        <family val="1"/>
      </rPr>
      <t>All type of Nodes are supported</t>
    </r>
    <r>
      <rPr>
        <b/>
        <sz val="9"/>
        <color theme="1"/>
        <rFont val="Bookman Old Style"/>
        <family val="1"/>
      </rPr>
      <t xml:space="preserve"> except vMME, Baseband T Node(IPv6), SAPC, PicoRBS6402(IPv6), MINI-LINKIndoor,CSCF/vCSCF(IPv6),MTAS/vMTAS(IPv6),IPWorks/vIPWorks,BGF/vBGF,BSP(IPv6),vMRF,HSS-FE/vHSS-FE,vSD,vPP,RVNFM,RNFVO,HPE-NFV-Director,vMSC-HC,vMSC, vIP-STP,Mini-link-669X, Mini-link-665X, Mini-link6366, Mini-link-CN210, Mini-link-CN510R1, Mini-link-CN510R2, Mini-link-CN810R1, Mini-link-CN810R2</t>
    </r>
  </si>
  <si>
    <r>
      <rPr>
        <sz val="9"/>
        <color theme="1"/>
        <rFont val="Bookman Old Style"/>
        <family val="1"/>
      </rPr>
      <t>All type of Nodes are supported</t>
    </r>
    <r>
      <rPr>
        <b/>
        <sz val="9"/>
        <color theme="1"/>
        <rFont val="Bookman Old Style"/>
        <family val="1"/>
      </rPr>
      <t xml:space="preserve"> except SGSN-MME, vMME, Baseband T Node(IPv6), SAPC, PicoRBS6402,CSCF/vCSCF(IPv6),MTAS/vMTAS(IPv6),IPWorks/vIPWorks,BGF/vBGF,BSP(IPv6),vMRF,HSS-FE/vHSS-FE,vSD,vPP,RVNFM,RNFVO,HPE-NFV-Director, NeLS, vTIF</t>
    </r>
  </si>
  <si>
    <r>
      <rPr>
        <sz val="9"/>
        <color theme="1"/>
        <rFont val="Bookman Old Style"/>
        <family val="1"/>
      </rPr>
      <t>All type of Nodes are supported</t>
    </r>
    <r>
      <rPr>
        <b/>
        <sz val="9"/>
        <color theme="1"/>
        <rFont val="Bookman Old Style"/>
        <family val="1"/>
      </rPr>
      <t xml:space="preserve"> except vMME(IPv6), Baseband T Node(IPv6), SAPC, PicoRBS6402(IPv6),JUNIPER-MX, JUNIPER-PTX, JUNIPER-SRX, JUNIPER-vMX, JUNIPER-vSRX,SBG/vSBG(IPv6),CSCF/vCSCF(IPv6),MTAS/vMTAS(IPv6),IPWorks/vIPWorks(IPv6),BGF/vBGF,RNFVO, HSS-FE/vHSS-FE(IPv6),RNFVO,RBS,RNC,HPE-NFV-Director,BSC,HLR-FE-BSP,HLR-FE-IS,HLR-FE,vHLR-FE,IP-STP-BSP,IP-STP,MSC-BC-BSP,MSC-BC-IS, MSC-DB-BSP, MSC-DB, vMSC-HC, vMSC, vIP-STP, MINI-LINK Outdoor(ML-6351, ML-6352, PT-2020, Switch-6391, FrontHaul-6392)</t>
    </r>
  </si>
  <si>
    <r>
      <rPr>
        <sz val="9"/>
        <color theme="1"/>
        <rFont val="Bookman Old Style"/>
        <family val="1"/>
      </rPr>
      <t>All type of Nodes are supported</t>
    </r>
    <r>
      <rPr>
        <b/>
        <sz val="9"/>
        <color theme="1"/>
        <rFont val="Bookman Old Style"/>
        <family val="1"/>
      </rPr>
      <t xml:space="preserve"> except vMME(IPv6), Baseband T Node(IPv6), SAPC, PicoRBS6402(IPv6),JUNIPER-MX, JUNIPER-PTX, JUNIPER-SRX, JUNIPER-vMX, JUNIPER-vSRX,CSCF/vCSCF(IPv6),MTAS/vMTAS(IPv6),IPWorks/vIPWorks,BGF/vBGF,BSP(IPv6),vMRF,HSS-FE/vHSS-FE(IPv6)</t>
    </r>
  </si>
  <si>
    <r>
      <rPr>
        <sz val="9"/>
        <color theme="1"/>
        <rFont val="Bookman Old Style"/>
        <family val="1"/>
      </rPr>
      <t>All type of Nodes are supported</t>
    </r>
    <r>
      <rPr>
        <b/>
        <sz val="9"/>
        <color theme="1"/>
        <rFont val="Bookman Old Style"/>
        <family val="1"/>
      </rPr>
      <t xml:space="preserve"> except vMME(IPv6), Baseband T Node(IPv6), SAPC, PicoRBS6402(IPv6),JUNIPER-MX, JUNIPER-PTX, JUNIPER-SRX, JUNIPER-vMX, JUNIPER-vSRX,CSCF/vCSCF(IPv6),IPWorks/vIPWorks(IPv6),BGF/vBGF,BSP,vMRF,HSS-FE/vHSS-FE(IPv6)Mini-link-669X, Mini-link-665X, Mini-link6366, Mini-link-CN210, Mini-link-CN510R1, Mini-link-CN510R2, Mini-link-CN810R1, Mini-link-CN810R2</t>
    </r>
  </si>
  <si>
    <r>
      <rPr>
        <sz val="9"/>
        <color theme="1"/>
        <rFont val="Bookman Old Style"/>
        <family val="1"/>
      </rPr>
      <t>All type of Nodes are supported</t>
    </r>
    <r>
      <rPr>
        <b/>
        <sz val="9"/>
        <color theme="1"/>
        <rFont val="Bookman Old Style"/>
        <family val="1"/>
      </rPr>
      <t xml:space="preserve"> except SGSN-MME, vMME, Baseband T Node, SAPC, PicoRBS6402, CSCF/vCSCF(IPv6),MTAS/vMTAS(IPv6),IPWorks/vIPWorks,BGF/vBGF,BSP,vMRF,Fronthaul6080,gNodeBBasebandRadioNode,HSS-FE/vHSS-FE,vSD,vPP,RVNFM,RNFVO,Fronthaul6020,HPE-NFV-Director, MRS, NeLS, vTIF</t>
    </r>
  </si>
  <si>
    <r>
      <rPr>
        <sz val="9"/>
        <color theme="1"/>
        <rFont val="Bookman Old Style"/>
        <family val="1"/>
      </rPr>
      <t>All type of Nodes are supported</t>
    </r>
    <r>
      <rPr>
        <b/>
        <sz val="9"/>
        <color theme="1"/>
        <rFont val="Bookman Old Style"/>
        <family val="1"/>
      </rPr>
      <t xml:space="preserve"> except vMME, Baseband T Node(IPv6), SAPC, PicoRBS6402(IPv6), MINI-LINKIndoor,JUNIPER-MX, JUNIPER-PTX, JUNIPER-SRX, JUNIPER-vMX, JUNIPER-vSRX,SBG/vSBG(IPv6),CSCF/vCSCF(IPv6),MTAS/vMTAS(IPv6),IPWorks/vIPWorks(IPv6),BGF/vBGF,BSP(IPv6),vMRF, HSS-FE/vHSS-FE(IPv6),RNFVO,HPE-NFV-Director,Mini-link-669X, Mini-link-665X, Mini-link6366, Mini-link-CN210, Mini-link-CN510R1, Mini-link-CN510R2, Mini-link-CN810R1, Mini-link-CN810R2, , MINI-LINK Outdoor(ML-6351, ML-6352, PT-2020, Switch-6391, FrontHaul-6392)</t>
    </r>
  </si>
  <si>
    <r>
      <rPr>
        <sz val="9"/>
        <color theme="1"/>
        <rFont val="Bookman Old Style"/>
        <family val="1"/>
      </rPr>
      <t xml:space="preserve">All type of Nodes are supported </t>
    </r>
    <r>
      <rPr>
        <b/>
        <sz val="9"/>
        <color theme="1"/>
        <rFont val="Bookman Old Style"/>
        <family val="1"/>
      </rPr>
      <t>except vMME(IPv6), Baseband T Node(IPv6), SAPC(IPv6), PicoRBS6402(IPv6), MINI-LINKIndoor,SBG/vSBG,CSCF/vCSCF,MTAS/vMTAS,IPWorks/vIPWorks(IPv6),BGF/vBGF(IPv6),BSP(IPv6),vMRF(IPv6),HSS-FE/vHSS-FE(IPV6),RVNFM , Mini-link-669X, Mini-link-665X, Mini-link6366, Mini-link-CN210, Mini-link-CN510R1, Mini-link-CN510R2, Mini-link-CN810R1, Mini-link-CN810R2</t>
    </r>
  </si>
  <si>
    <r>
      <rPr>
        <sz val="9"/>
        <color theme="1"/>
        <rFont val="Bookman Old Style"/>
        <family val="1"/>
      </rPr>
      <t>All type of Nodes are supported</t>
    </r>
    <r>
      <rPr>
        <b/>
        <sz val="9"/>
        <color theme="1"/>
        <rFont val="Bookman Old Style"/>
        <family val="1"/>
      </rPr>
      <t xml:space="preserve"> except vMME(IPv6), Baseband T Node(IPv6), SAPC(IPv6), PicoRBS6402(IPv6), MINI-LINKIndoor,SBG/vSBG,CSCF/vCSCF,MTAS/vMTAS,IPWorks/vIPWorks(IPv6),BGF/vBGF(IPv6),BSP(IPv6),vMRF(IPv6),HSS-FE/vHSS-FE,RVNFM,vMSC,BSC,HLR-FE-BSP,HLR-FE-IS,HLR-FE,vHLR-FE,IP-STP-BSP,IP-STP,MSC-BC-BSP,MSC-BC-IS, MSC-DB-BSP, MSC-DB, vMSC-HC, vMSC, vIP-STP , Mini-link-669X, Mini-link-665X, Mini-link6366, Mini-link-CN210, Mini-link-CN510R1, Mini-link-CN510R2, Mini-link-CN810R1, Mini-link-CN810R2</t>
    </r>
  </si>
  <si>
    <t>GUI-AddNode-00-3.1.robot</t>
  </si>
  <si>
    <t>GUI-AddNode-00-3.2.robot</t>
  </si>
  <si>
    <t>GUI-AddNode-00-3.3.robot</t>
  </si>
  <si>
    <t>Add a network element, with mandatory MEContext parameter, via UI with ManagedElement as the top root managed object.</t>
  </si>
  <si>
    <t>Add a network element, with mandatory MEContext parameter, via UI with SubNetwork as the top root managed object</t>
  </si>
  <si>
    <t>Add a network element, with optional MEContext parameter, via UI with ManagedElement as the top root managed object</t>
  </si>
  <si>
    <t>Dummy nodes are used for testing hence not applicable</t>
  </si>
  <si>
    <t>ESM-3.1</t>
  </si>
  <si>
    <t>GUI-ESM-00-3.1.robot</t>
  </si>
  <si>
    <t>GUI-FM-00-5.5.robot</t>
  </si>
  <si>
    <t>GUI-FM-00-3.2.robot</t>
  </si>
  <si>
    <t>View module parameters</t>
  </si>
  <si>
    <t>Edit module parameters</t>
  </si>
  <si>
    <t>View module statistics</t>
  </si>
  <si>
    <t>Export module statistics to CSV file</t>
  </si>
  <si>
    <t>Deactivate rule module</t>
  </si>
  <si>
    <t>Unload rule module</t>
  </si>
  <si>
    <t>GUI-FMX-01-3.1.9.robot</t>
  </si>
  <si>
    <t>GUI-FMX-02-3.1.10.robot</t>
  </si>
  <si>
    <t>GUI-FMX-03-3.1.11.robot</t>
  </si>
  <si>
    <t>GUI-FMX-00-3.1.12.robot</t>
  </si>
  <si>
    <t>GUI-FMX-00-3.1.13.robot</t>
  </si>
  <si>
    <t>GUI-FMX-00-3.1.14.robot</t>
  </si>
  <si>
    <t>Comments</t>
  </si>
  <si>
    <t>GUI-CellManagement-00-3.2.1.robot</t>
  </si>
  <si>
    <t>GUI-CellManagament-01-Custom-3.1.robot</t>
  </si>
  <si>
    <t>GUI-CellManagament-02-Custom-3.2.robot</t>
  </si>
  <si>
    <t>GUI-CellManagement-00-Custom-3.3.robot</t>
  </si>
  <si>
    <t>Read EUtranCell/UtranCell/GeranCell/NR Cell data for an LTE/WCDMA/GSM/gNodeB Baseband node</t>
  </si>
  <si>
    <t xml:space="preserve">View Relations </t>
  </si>
  <si>
    <t>Correlate logs from ENM</t>
  </si>
  <si>
    <t>GUI-IDAM-25-3.13.robot</t>
  </si>
  <si>
    <t>GUI-IDAM-09-3.16.robot</t>
  </si>
  <si>
    <t>GUI-IDAM-12-3.18.robot</t>
  </si>
  <si>
    <t>GUI-IDAM-13-3.19.robot</t>
  </si>
  <si>
    <t>GUI-IDAM-19-3.2.robot</t>
  </si>
  <si>
    <t>GUI-IDAM-18-3.25.robot</t>
  </si>
  <si>
    <t>GUI-IDAM-15-3.27.robot</t>
  </si>
  <si>
    <t>GUI-IDAM-16-3.28.robot</t>
  </si>
  <si>
    <t>GUI-IDAM-17-3.29.robot</t>
  </si>
  <si>
    <t>GUI-IDAM-20-3.32.robot</t>
  </si>
  <si>
    <t>GUI-IDAM-05-3.6.robot</t>
  </si>
  <si>
    <t>GUI-IDAM-00-3.3.robot</t>
  </si>
  <si>
    <t>GUI-IDAM-00-3.8.robot</t>
  </si>
  <si>
    <t>GUI-IDAM-00-3.14.robot</t>
  </si>
  <si>
    <t>GUI-IDAM-00-3.15.robot</t>
  </si>
  <si>
    <t>GUI-IDAM-00-3.17.robot</t>
  </si>
  <si>
    <t>GUI-IDAM-00-3.20.robot</t>
  </si>
  <si>
    <t>GUI-IDAM-00-3.23.robot</t>
  </si>
  <si>
    <t>GUI-IDAM-00-3.26.robot</t>
  </si>
  <si>
    <t>GUI-IDAM-06-3.10.robot</t>
  </si>
  <si>
    <t>GUI-IDAM-02-3.24.robot</t>
  </si>
  <si>
    <t>GUI-IDAM-10-3.22.robot</t>
  </si>
  <si>
    <t>GUI-IDAM-14-3.21.robot</t>
  </si>
  <si>
    <t>Target Group Management - Create Target Group</t>
  </si>
  <si>
    <t>Role Management - Use Filters to search for Roles</t>
  </si>
  <si>
    <t>System Security Configuration – Deactivate the Logon Successful screen</t>
  </si>
  <si>
    <t xml:space="preserve">Mass-modification users’ data – Export selected users to an XML file </t>
  </si>
  <si>
    <t>Target Group Management UI - Assign target to target group (using collections)</t>
  </si>
  <si>
    <t>User Management - User can be created with consecutive characters password policy functionality enabled</t>
  </si>
  <si>
    <t>User Management - Use Filters to search for Users/Demonstrate how to search users with the filters provided on the Users table</t>
  </si>
  <si>
    <t>Configurable Login Lock</t>
  </si>
  <si>
    <t>Created User can login for the first time</t>
  </si>
  <si>
    <t>Assign a Role and a Target Group to User</t>
  </si>
  <si>
    <t>Unassign a Role and a Target Group to User</t>
  </si>
  <si>
    <t>Delete Target Group</t>
  </si>
  <si>
    <t>Role Management - Compare two Custom Roles</t>
  </si>
  <si>
    <t>Create a User with customized Password Ageing</t>
  </si>
  <si>
    <t>User Management - User can change his/her password</t>
  </si>
  <si>
    <t>User Management - Change a User’s password</t>
  </si>
  <si>
    <t>User Management - Update Existing User information</t>
  </si>
  <si>
    <t>User Management - Created User without SECURITY_ADMIN role cannot access User Management page.</t>
  </si>
  <si>
    <t>User Management - User can view his/her profile</t>
  </si>
  <si>
    <t>Target Group Management UI - Assign/Unassign target to/from a target group</t>
  </si>
  <si>
    <t>Target Group Management UI - Assign target to target group (using saved searches)</t>
  </si>
  <si>
    <t>Role Management - Create a Role</t>
  </si>
  <si>
    <t>Role Management - Update existing Role information</t>
  </si>
  <si>
    <t>User Management - Update existing User information for customized Password Ageing</t>
  </si>
  <si>
    <t>User Management - Delete a user</t>
  </si>
  <si>
    <t>Role Management - Delete Role</t>
  </si>
  <si>
    <t>User Management – Edit Multiple Users</t>
  </si>
  <si>
    <t>Mass-modification users’ data – Import users from XML file</t>
  </si>
  <si>
    <t>Dependent on 3.04</t>
  </si>
  <si>
    <t>Dependent on 3.11</t>
  </si>
  <si>
    <t>Dependent on 3.12</t>
  </si>
  <si>
    <t>Dependent on GUI-IDAM-16-3.28</t>
  </si>
  <si>
    <t>Dependent on GUI-IDAM-16-3.14</t>
  </si>
  <si>
    <t>GUI-WinFIOL-00-3.1.robot</t>
  </si>
  <si>
    <t>GUI-WinFIOL-3.1</t>
  </si>
  <si>
    <t>Launch WinFIOL CLI from ENM launcher</t>
  </si>
  <si>
    <t>GUI-PLM-00-3.2.robot</t>
  </si>
  <si>
    <t>Node Independent</t>
  </si>
  <si>
    <t>CLI-HA-00-3.1.robot</t>
  </si>
  <si>
    <t>GUI-AP-00-3.8.16.robot</t>
  </si>
  <si>
    <t>GUI-AP-00-3.8.17.robot</t>
  </si>
  <si>
    <t>GUI-AP-00-3.9.2.robot</t>
  </si>
  <si>
    <t>GUI-AP-00-3.9.5.robot</t>
  </si>
  <si>
    <t>GUI-AP-00-3.9.9.robot</t>
  </si>
  <si>
    <t>GUI-AP-00-3.9.10.robot</t>
  </si>
  <si>
    <t>GUI-AP-00-3.9.11.robot</t>
  </si>
  <si>
    <t>On-line and Command Line Help</t>
  </si>
  <si>
    <t>Dependent on GUI-AP-00-3.8.16.robot</t>
  </si>
  <si>
    <t>Capability to view/update parameters  for CM application   CM_APP_Param</t>
  </si>
  <si>
    <t>GUI-UM-00-Custom-01.robot</t>
  </si>
  <si>
    <t>GUI-CM-00-3.1.robot</t>
  </si>
  <si>
    <t>GUI-CM-00-3.2.robot</t>
  </si>
  <si>
    <t>GUI-CM-00-4.1.robot</t>
  </si>
  <si>
    <t>Create required Managed Objects (MO) for CM features</t>
  </si>
  <si>
    <t>GUI-FM-00-4.1.robot</t>
  </si>
  <si>
    <t>GUI-FM-00-4.3.robot</t>
  </si>
  <si>
    <t>GUI-FM-00-4.4.robot</t>
  </si>
  <si>
    <t>GUI-FM-00-4.5.robot</t>
  </si>
  <si>
    <t>GUI-FM-00-4.6.robot</t>
  </si>
  <si>
    <t>GUI-FM-00-4.7.robot</t>
  </si>
  <si>
    <t>GUI-FM-00-4.8.robot</t>
  </si>
  <si>
    <t>GUI-FM-00-4.9.robot</t>
  </si>
  <si>
    <t>GUI-FM-00-4.10.robot</t>
  </si>
  <si>
    <t>GUI-FM-00-4.15.robot</t>
  </si>
  <si>
    <t>GUI-FM-00-4.16.robot</t>
  </si>
  <si>
    <t>GUI-FM-00-4.17.robot</t>
  </si>
  <si>
    <t>GUI-FM-00-4.20.robot</t>
  </si>
  <si>
    <t>GUI-FM-00-4.21.robot</t>
  </si>
  <si>
    <t>GUI-FM-00-4.25.robot</t>
  </si>
  <si>
    <t>GUI-FM-00-4.26.robot</t>
  </si>
  <si>
    <t>GUI-FM-00-3.1.robot</t>
  </si>
  <si>
    <t>GUI-FM-00-3.4.robot</t>
  </si>
  <si>
    <t>GUI-FM-00-4.27.robot</t>
  </si>
  <si>
    <t>GUI-FM-00-4.28.robot</t>
  </si>
  <si>
    <t>GUI-FM-00-Custom-4.29.robot</t>
  </si>
  <si>
    <t>GUI-FM-00-8.1.robot</t>
  </si>
  <si>
    <t>GUI-FM-01-8.2.robot</t>
  </si>
  <si>
    <t>GUI-FM-02-8.3.robot</t>
  </si>
  <si>
    <t>GUI-FM-03-8.4.robot</t>
  </si>
  <si>
    <t>GUI-FM-04-8.5.robot</t>
  </si>
  <si>
    <t>GUI-FM-00-5.2.robot</t>
  </si>
  <si>
    <t>GUI-FM-00-Custom-4.31.robot</t>
  </si>
  <si>
    <t>GUI-FM-00-5.1.robot</t>
  </si>
  <si>
    <t>GUI-FM-00-4.23.robot</t>
  </si>
  <si>
    <t>GUI-FM-00-4.18.robot</t>
  </si>
  <si>
    <t>GUI-FM-00-4.19.robot</t>
  </si>
  <si>
    <t>GUI-FM-00-Custom-4.30.robot</t>
  </si>
  <si>
    <t>GUI-FM-00-9.4.robot</t>
  </si>
  <si>
    <t>GUI-FM-00-3.3.robot</t>
  </si>
  <si>
    <t>GUI-FM-00-3.5.robot</t>
  </si>
  <si>
    <r>
      <t xml:space="preserve">All type of Nodes are supported except </t>
    </r>
    <r>
      <rPr>
        <b/>
        <sz val="9"/>
        <color theme="1"/>
        <rFont val="Bookman Old Style"/>
        <family val="1"/>
      </rPr>
      <t>Cisco-ASR900 , Juniper-MX , Juniper- PTX , Juniper-SRX , MTAS(IPv6), CSCF(IPv6), SBG(IPv6),ECM(IPv6), HSS-FE(IPv6), Vupg(IPv6), DSC , WCG , vEME , CCN-TSP(IPv6) , CSCF-TSP(IPv6), cSAPC-TSP(IPv6), HSS-FE-TSP(IPv6), MTAS-TSP(IPv6), VPN-TSP(IPv6), vBGF(IPv6), vMRF , ESC(IPv6), SBG-IS , vSD , RVNFM , Juniper-VSRX , Juniper-VMX</t>
    </r>
    <r>
      <rPr>
        <sz val="9"/>
        <color theme="1"/>
        <rFont val="Bookman Old Style"/>
        <family val="1"/>
      </rPr>
      <t xml:space="preserve"> </t>
    </r>
  </si>
  <si>
    <r>
      <t xml:space="preserve">All type of Nodes are supported  except </t>
    </r>
    <r>
      <rPr>
        <b/>
        <sz val="9"/>
        <color theme="1"/>
        <rFont val="Bookman Old Style"/>
        <family val="1"/>
      </rPr>
      <t>MTAS(IPv6), CSCF(IPv6), SBG(IPv6),ECM,HSS-FE(IPv6),vUPG(IPv6), DSC(IPv6), WCG(IPv6), vEME , CCN-TSP(IPv6) , CSCF-TSP(IPv6), cSAPC-TSP(IPv6), HSS-FE-TSP(IPv6), MTAS-TSP(IPv6), VPN-TSP(IPv6), vBGF(IPv6), vMRF (IPv6), ESC (IPv6), SBG-IS (IPv6),vSD , RVNFM</t>
    </r>
  </si>
  <si>
    <r>
      <t xml:space="preserve">All type of Nodes are supported  except </t>
    </r>
    <r>
      <rPr>
        <b/>
        <sz val="9"/>
        <color theme="1"/>
        <rFont val="Bookman Old Style"/>
        <family val="1"/>
      </rPr>
      <t>MTAS(IPv6), CSCF(IPv6), SBG(IPv6),ECM,HSS-FE,vUPG,DSC,WCG,vEME,CCN-TSP(IPv6) , CSCF-TSP(IPv6), cSAPC-TSP(IPv6), HSS-FE-TSP(IPv6), MTAS-TSP(IPv6), VPN-TSP(IPv6), vBGF(IPv6), vMRF, ESC(IPv6), SBG-IS, Juniper-VSRX , Juniper-VMX</t>
    </r>
    <r>
      <rPr>
        <sz val="9"/>
        <color theme="1"/>
        <rFont val="Bookman Old Style"/>
        <family val="1"/>
      </rPr>
      <t xml:space="preserve"> </t>
    </r>
  </si>
  <si>
    <t>Dependent on  8.2</t>
  </si>
  <si>
    <t>CLI-SecurityPKI-00-4.9.robot</t>
  </si>
  <si>
    <t>Launch AMOS from ENM Launcher</t>
  </si>
  <si>
    <t>Launch Shell Terminal from ENM Launcher</t>
  </si>
  <si>
    <t>Launch Scripting Terminal from ENM Launcher</t>
  </si>
  <si>
    <t>GUI-AMOS-00-3.1.robot</t>
  </si>
  <si>
    <t>GUI-AMOS-00-3.12.robot</t>
  </si>
  <si>
    <t>GUI-AMOS-00-3.11.robot</t>
  </si>
  <si>
    <t>Run MO Batch commands from ENM shell Terminal</t>
  </si>
  <si>
    <t>GUI-AMOS-00-05.robot</t>
  </si>
  <si>
    <t>View Resource Usage in AMOS terminal window</t>
  </si>
  <si>
    <t>GUI-AMOS-00-3.08.robot</t>
  </si>
  <si>
    <t>List and Terminate remote desktop sessions running in ENM</t>
  </si>
  <si>
    <t>GUI-AMOS-00-3.16.robot</t>
  </si>
  <si>
    <t>CLI-AMOS-00-3.6.robot</t>
  </si>
  <si>
    <t>CLI-AMOS-00-3.3.robot</t>
  </si>
  <si>
    <t>CLI-AMOS-00-04.robot</t>
  </si>
  <si>
    <t>CLI-AMOS-00-06.robot</t>
  </si>
  <si>
    <t>CLI-AMOS-00-3.9.robot</t>
  </si>
  <si>
    <t>CLI-AMOS-00-3.7.robot</t>
  </si>
  <si>
    <t>GUI-AMOS-00-3.24.robot</t>
  </si>
  <si>
    <t>GUI-AMOS-00-3.21.robot</t>
  </si>
  <si>
    <t>GUI-AMOS-00-3.14.robot</t>
  </si>
  <si>
    <t>GUI-AMOS-00-3.02.robot</t>
  </si>
  <si>
    <t>GUI-AMOS-00-3.15.robot</t>
  </si>
  <si>
    <t>GUI-AMOS-00-3.13.robot</t>
  </si>
  <si>
    <t>GUI-NetworkExplorer-00-3.1.robot</t>
  </si>
  <si>
    <t xml:space="preserve">GUI-NetworkExplorer-00-Custom-3.6.1.1.robot
</t>
  </si>
  <si>
    <t>GUI-NetworkExplorer-00-Custom-3.6.1.2.robot</t>
  </si>
  <si>
    <t>GUI-NetworkExplorer-00-Custom-3.6.1.3.robot</t>
  </si>
  <si>
    <t>GUI-NetworkExplorer-00-Custom-3.6.1.4.robot</t>
  </si>
  <si>
    <t>GUI-NetworkExplorer-00-Custom-3.6.2.robot</t>
  </si>
  <si>
    <t>GUI-NetworkExplorer-00-Custom-3.6.3.robot</t>
  </si>
  <si>
    <t>GUI-NetworkExplorer-00-Custom-3.6.4.robot</t>
  </si>
  <si>
    <t>GUI-NetworkExplorer-00-Custom-3.6.5.robot</t>
  </si>
  <si>
    <t>GUI-NetworkExplorer-00-Custom-3.6.6.robot</t>
  </si>
  <si>
    <t>GUI-NetworkExplorer-00-3.6.robot</t>
  </si>
  <si>
    <t>GUI-NetworkExplorer-00-3.7.robot</t>
  </si>
  <si>
    <t>NetworkExplorer-MAsterGAT-3.2</t>
  </si>
  <si>
    <t>NetworkExplorer-MAsterGAT-3.3</t>
  </si>
  <si>
    <t>NetworkExplorer-MAsterGAT-3.4</t>
  </si>
  <si>
    <t>NetworkExplorer-MAsterGAT-3.5</t>
  </si>
  <si>
    <t>GUI-NetworkExplorer-00-3.2.robot</t>
  </si>
  <si>
    <t>GUI-NetworkExplorer-00-3.3.robot</t>
  </si>
  <si>
    <t>GUI-NetworkExplorer-00-3.4.robot</t>
  </si>
  <si>
    <t>GUI-NetworkExplorer-00-3.5.robot</t>
  </si>
  <si>
    <t>Search the network for Managed Objects using the Network Explorer search box</t>
  </si>
  <si>
    <t>Search on Managed Objects filtering results with attributes using the Network Explorer Criteria Builder</t>
  </si>
  <si>
    <t>Search on Managed Objects using the Network Explorer Criteria Builder</t>
  </si>
  <si>
    <t>Search on Node(s) using the Network Explorer Criteria Builder</t>
  </si>
  <si>
    <t>ERBS IPV4,IPV6</t>
  </si>
  <si>
    <t>Create New Workspace</t>
  </si>
  <si>
    <t>NHM-MAsterGAT-3.2</t>
  </si>
  <si>
    <t>NHM-MAsterGAT-3.4</t>
  </si>
  <si>
    <t>NHM-MAsterGAT-3.8</t>
  </si>
  <si>
    <t>NHM-MAsterGAT-3.11</t>
  </si>
  <si>
    <t>NHM-MAsterGAT-3.12</t>
  </si>
  <si>
    <t>NHM-MAsterGAT-3.42</t>
  </si>
  <si>
    <t>NHM-MAsterGAT-3.44</t>
  </si>
  <si>
    <t>NHM-MAsterGAT-3.46</t>
  </si>
  <si>
    <t>NHM_MasterGAT_2.31</t>
  </si>
  <si>
    <t>View KPI Summary</t>
  </si>
  <si>
    <t>Customize the Layout of NHM</t>
  </si>
  <si>
    <t>Open Workspace in Existing Dashboard</t>
  </si>
  <si>
    <t>Open Workspace in new Browser Tab</t>
  </si>
  <si>
    <t>Launch external Apps from Node Monitor</t>
  </si>
  <si>
    <t>Edit a KPI to Remove Nodes</t>
  </si>
  <si>
    <t>Export KPI</t>
  </si>
  <si>
    <t>Cell Management operations from Network Health Analysis - able to lock/unlock cell</t>
  </si>
  <si>
    <t>GUI-NHM-00-3.1.robot</t>
  </si>
  <si>
    <t>GUI-NHM-00-3.2.robot</t>
  </si>
  <si>
    <t>GUI-NHM-00-3.3.robot</t>
  </si>
  <si>
    <t>GUI-NHM-00-3.4.robot</t>
  </si>
  <si>
    <t>GUI-NHM-00-3.5.robot</t>
  </si>
  <si>
    <t>GUI-NHM-00-3.6.robot</t>
  </si>
  <si>
    <t>GUI-NHM-00-3.44.robot</t>
  </si>
  <si>
    <t>GUI-NHM-00-3.7.robot</t>
  </si>
  <si>
    <t>GUI-NHM-00-3.8.robot</t>
  </si>
  <si>
    <t>GUI-NHM-00-3.9.robot</t>
  </si>
  <si>
    <t>GUI-NHM-00-3.10.robot</t>
  </si>
  <si>
    <t>GUI-NHM-00-3.11.robot</t>
  </si>
  <si>
    <t>GUI-NHM-00-3.12.robot</t>
  </si>
  <si>
    <t>GUI-NHM-00-3.14.robot</t>
  </si>
  <si>
    <t>GUI-NHM-00-3.15.robot</t>
  </si>
  <si>
    <t>GUI-NHM-00-3.17.robot</t>
  </si>
  <si>
    <t>GUI-NHM-00-3.18.robot</t>
  </si>
  <si>
    <t>GUI-NHM-00-3.19.robot</t>
  </si>
  <si>
    <t>GUI-NHM-00-3.20.robot</t>
  </si>
  <si>
    <t>GUI-NHM-00-3.21.robot</t>
  </si>
  <si>
    <t>GUI-NHM-00-3.22.robot</t>
  </si>
  <si>
    <t>GUI-NHM-00-3.23.robot</t>
  </si>
  <si>
    <t>GUI-NHM-00-3.24.robot</t>
  </si>
  <si>
    <t>GUI-NHM-00-3.25.robot</t>
  </si>
  <si>
    <t>GUI-NHM-00-3.26.robot</t>
  </si>
  <si>
    <t>GUI-NHM-00-3.27.robot</t>
  </si>
  <si>
    <t>NHM-MAsterGAT-3.28</t>
  </si>
  <si>
    <t>GUI-NHM-00-3.28.robot</t>
  </si>
  <si>
    <t>Open Network Health Analysis from the Launcher page</t>
  </si>
  <si>
    <t>GUI-NHM-00-3.29.robot</t>
  </si>
  <si>
    <t>GUI-NHM-00-3.30.robot</t>
  </si>
  <si>
    <t>GUI-NHM-00-3.31.robot</t>
  </si>
  <si>
    <t>GUI-NHM-00-3.32.robot</t>
  </si>
  <si>
    <t>GUI-NHM-00-3.36.robot</t>
  </si>
  <si>
    <t>GUI-NHM-00-3.37.robot</t>
  </si>
  <si>
    <t>GUI-NHM-00-3.38.robot</t>
  </si>
  <si>
    <t>GUI-NHM-00-3.39.robot</t>
  </si>
  <si>
    <t>GUI-NHM-00-3.40.robot</t>
  </si>
  <si>
    <t>GUI-NHM-00-3.41.robot</t>
  </si>
  <si>
    <t>GUI-NHM-00-3.43.robot</t>
  </si>
  <si>
    <t>GUI-NHM-00-3.46.robot</t>
  </si>
  <si>
    <t>GUI-NHM-00-2.31.robot</t>
  </si>
  <si>
    <t>GUI-NHM-00-3.42.robot</t>
  </si>
  <si>
    <t>GUI-NHM-00-3.51.robot</t>
  </si>
  <si>
    <t>GUI-NHM-00-3.48.robot</t>
  </si>
  <si>
    <t>All type of Nodes are supported except EPG, VEPG</t>
  </si>
  <si>
    <t>All type of Nodes are supported except Router 6672,6675,6x71,6273,6274, Macro &amp; Micro enodeB DU Radio Node,nodeB Baseband Radio Nodes,nodeB Pico Radio Nodes,RNC</t>
  </si>
  <si>
    <t>View KPI table</t>
  </si>
  <si>
    <t>Dependent on NHM_MasterGAT_3.1</t>
  </si>
  <si>
    <t>Dependent on NHM_MasterGAT_3.3</t>
  </si>
  <si>
    <t>Dependent on NHM_MasterGAT_3.5</t>
  </si>
  <si>
    <t>Display options on PMIC landing page</t>
  </si>
  <si>
    <t>Export a PM Subscription to a json File</t>
  </si>
  <si>
    <t>Activate a Cell Trace Subscription</t>
  </si>
  <si>
    <t>Deactivate a Cell Trace Subscription</t>
  </si>
  <si>
    <t>Included in PM_MasterGAT_3.4.1</t>
  </si>
  <si>
    <t>Dependent on 3.7.1</t>
  </si>
  <si>
    <t>Dependent on 3.7.2</t>
  </si>
  <si>
    <t>Dependent on 3.16.1</t>
  </si>
  <si>
    <t>Dependent on 3.16.3</t>
  </si>
  <si>
    <t>Dependent on 3.16.4</t>
  </si>
  <si>
    <t>Dependent on 3.16.5</t>
  </si>
  <si>
    <t>Dependent on 3.16.7</t>
  </si>
  <si>
    <t>Dependent on 3.3.1</t>
  </si>
  <si>
    <t>Dependent on 3.15.1</t>
  </si>
  <si>
    <t>Dependent on 3.15.3</t>
  </si>
  <si>
    <t>Dependent on 3.14.1</t>
  </si>
  <si>
    <t>Dependent on 3.14.3</t>
  </si>
  <si>
    <t>Dependent on 3.14.6</t>
  </si>
  <si>
    <t>Dependent on 3.11.1</t>
  </si>
  <si>
    <t>Dependent on 3.11.2</t>
  </si>
  <si>
    <t>Dependent on 3.3.4</t>
  </si>
  <si>
    <t>Dependent on 3.8.1</t>
  </si>
  <si>
    <t>Dependent on 3.8.3</t>
  </si>
  <si>
    <t>Dependent on GUI-PM-00-3.3.3</t>
  </si>
  <si>
    <t>Node should have Radio units</t>
  </si>
  <si>
    <t>Atleast one MME-node should be available in ENM</t>
  </si>
  <si>
    <r>
      <t xml:space="preserve">All type of Nodes are supported  except </t>
    </r>
    <r>
      <rPr>
        <b/>
        <sz val="9"/>
        <color theme="1"/>
        <rFont val="Bookman Old Style"/>
        <family val="1"/>
      </rPr>
      <t>EPG, vEPG,(v)WMG, FH6080, FH6020, TCU02, SIU02,PCC,PCG</t>
    </r>
  </si>
  <si>
    <t>Follow GAT document</t>
  </si>
  <si>
    <t>Node should have Radio Units</t>
  </si>
  <si>
    <t>TestPassw0rd</t>
  </si>
  <si>
    <t>ENM05.robot</t>
  </si>
  <si>
    <t>ENM14.robot</t>
  </si>
  <si>
    <t>ENM13.robot</t>
  </si>
  <si>
    <t>ENM06.robot</t>
  </si>
  <si>
    <t>ENM07.robot</t>
  </si>
  <si>
    <t>ENM08.robot</t>
  </si>
  <si>
    <t>ENM09.robot</t>
  </si>
  <si>
    <t>ENM10.robot</t>
  </si>
  <si>
    <t>GUI-NetworkViewer-00-3.7.robot</t>
  </si>
  <si>
    <t>GUI-NetworkViewer-00-3.8.robot</t>
  </si>
  <si>
    <t>GUI-NetworkViewer-00-3.9.robot</t>
  </si>
  <si>
    <t>GUI-NetworkViewer-00-3.10.robot</t>
  </si>
  <si>
    <t>GUI-NetworkViewer-00-3.11.robot</t>
  </si>
  <si>
    <t>GUI-NetworkViewer-00-3.12.robot</t>
  </si>
  <si>
    <t>GUI-NetworkViewer-00-3.18.robot</t>
  </si>
  <si>
    <t>GUI-NetworkViewer-00-3.19.robot</t>
  </si>
  <si>
    <t>GUI-NetworkViewer-00-3.30.robot</t>
  </si>
  <si>
    <t>GUI-NetworkViewer-00-3.14.robot</t>
  </si>
  <si>
    <t>GUI-NetworkViewer-00-3.26.robot</t>
  </si>
  <si>
    <t>GUI-NetworkViewer-00-3.29.robot</t>
  </si>
  <si>
    <t>GUI-NetworkViewer-00-3.24.robot</t>
  </si>
  <si>
    <t>GUI-NetworkViewer-00-3.1.robot</t>
  </si>
  <si>
    <t>GUI-NetworkViewer-00-3.2.robot</t>
  </si>
  <si>
    <t>GUI-NetworkViewer-00-3.3.robot</t>
  </si>
  <si>
    <t>GUI-NetworkViewer-00-3.4.robot</t>
  </si>
  <si>
    <t>GUI-NetworkViewer-00-3.13.robot</t>
  </si>
  <si>
    <t>GUI-NetworkViewer-00-3.15.robot</t>
  </si>
  <si>
    <t>GUI-NetworkViewer-00-3.16.robot</t>
  </si>
  <si>
    <t>GUI-SecurityPKI-00-7.5.robot</t>
  </si>
  <si>
    <t>GUI-SecurityPKI-00-5.2.robot</t>
  </si>
  <si>
    <t>GUI-SecurityPKI-00-6.5.robot</t>
  </si>
  <si>
    <t>GUI-SecurityPKI-00-6.6.robot</t>
  </si>
  <si>
    <t>ENM01.robot</t>
  </si>
  <si>
    <t>ENM02.robot</t>
  </si>
  <si>
    <t>ENM04.robot</t>
  </si>
  <si>
    <t>ENM03.robot</t>
  </si>
  <si>
    <t>GUI-TopologyBrowser-00-3.6.robot</t>
  </si>
  <si>
    <t>GUI-TopologyBrowser-00-3.3.robot</t>
  </si>
  <si>
    <t>GUI-TopologyBrowser-00-3.4.robot</t>
  </si>
  <si>
    <t>GUI-TopologyBrowser-00-3.1.robot</t>
  </si>
  <si>
    <t>GUI-TopologyBrowser-00-3.2.robot</t>
  </si>
  <si>
    <t>GUI-TopologyBrowser-00-3.5.robot</t>
  </si>
  <si>
    <t>ENM11.robot</t>
  </si>
  <si>
    <t>Install license</t>
  </si>
  <si>
    <t>View the license inventory</t>
  </si>
  <si>
    <t>View the latest capacity license usage</t>
  </si>
  <si>
    <t>Export License Usage</t>
  </si>
  <si>
    <t>Get Grace Period Status</t>
  </si>
  <si>
    <t>Get Emergency Unlock Status</t>
  </si>
  <si>
    <t>Get Capacity License Enforcement Status</t>
  </si>
  <si>
    <t>Get License Alarm Threshold Info</t>
  </si>
  <si>
    <t>GUI-LCMS-00-3.2.robot</t>
  </si>
  <si>
    <t>GUI-LCMS-00-3.3.robot</t>
  </si>
  <si>
    <t>GUI-LCMS-00-3.4.robot</t>
  </si>
  <si>
    <t>GUI-LCMS-00-3.5.robot</t>
  </si>
  <si>
    <t>GUI-LCMS-00-3.6.robot</t>
  </si>
  <si>
    <t>GUI-LCMS-00-3.7.robot</t>
  </si>
  <si>
    <t>GUI-LCMS-00-3.8.robot</t>
  </si>
  <si>
    <t>GUI-LCMS-00-3.2</t>
  </si>
  <si>
    <t>GUI-LCMS-00-3.3</t>
  </si>
  <si>
    <t>GUI-LCMS-00-3.4</t>
  </si>
  <si>
    <t>GUI-LCMS-00-3.5</t>
  </si>
  <si>
    <t>GUI-LCMS-00-3.6</t>
  </si>
  <si>
    <t>GUI-LCMS-00-3.7</t>
  </si>
  <si>
    <t>GUI-LCMS-00-3.8</t>
  </si>
  <si>
    <t>ENM15.robot</t>
  </si>
  <si>
    <t>GUI-OPS-00-3.1.robot</t>
  </si>
  <si>
    <t>GUI-OPS-00-3.6.robot</t>
  </si>
  <si>
    <t>GUI-OPS-00-3.1</t>
  </si>
  <si>
    <t>GUI-OPS-00-3.6</t>
  </si>
  <si>
    <t xml:space="preserve">OPS GUI Launch </t>
  </si>
  <si>
    <t>OPS GUI Close</t>
  </si>
  <si>
    <t>GUI-RI-00-3.1.robot</t>
  </si>
  <si>
    <t>GUI-RI-00-3.7.robot</t>
  </si>
  <si>
    <t>GUI-RI-00-3.2.robot</t>
  </si>
  <si>
    <t>GUI-RI-00-3.4.robot</t>
  </si>
  <si>
    <t>GUI-RI-00-3.5.robot</t>
  </si>
  <si>
    <t>GUI-RI-00-3.6.robot</t>
  </si>
  <si>
    <t>GUI-RI-00-3.8.robot</t>
  </si>
  <si>
    <t>GUI-RI-00-3.1</t>
  </si>
  <si>
    <t>GUI-RI-00-3.7</t>
  </si>
  <si>
    <t>GUI-RI-00-3.2</t>
  </si>
  <si>
    <t>GUI-RI-00-3.4</t>
  </si>
  <si>
    <t>GUI-RI-00-3.5</t>
  </si>
  <si>
    <t>GUI-RI-00-3.6</t>
  </si>
  <si>
    <t>GUI-RI-00-3.8</t>
  </si>
  <si>
    <t>View Release Independence Candidates (NVS-VRIC)</t>
  </si>
  <si>
    <t>View Supported Node Versions (NVS-VSNV)</t>
  </si>
  <si>
    <t>View Model Validation Results (NVS-VVR)</t>
  </si>
  <si>
    <t>Add Support for Node Versions (NVS-EASNV)</t>
  </si>
  <si>
    <t>View Release Independence Results (NVS-VRIR)</t>
  </si>
  <si>
    <t>Clear Release Independence Results (NVS-CRIR)</t>
  </si>
  <si>
    <t>Remove Support for a Node Version (NVS-RSNV)</t>
  </si>
  <si>
    <t>GUI-NCM-00-3.1</t>
  </si>
  <si>
    <t>GUI-NCM-00-3.1.robot</t>
  </si>
  <si>
    <t>Usability Improvements (phase1)</t>
  </si>
  <si>
    <t>MiniLink and Router Type</t>
  </si>
  <si>
    <t>Robot_File_Name</t>
  </si>
  <si>
    <t>ENM01</t>
  </si>
  <si>
    <t>ENM02</t>
  </si>
  <si>
    <t>ENM03</t>
  </si>
  <si>
    <t>ENM04</t>
  </si>
  <si>
    <t>BSC33;BB46</t>
  </si>
  <si>
    <t>BB40</t>
  </si>
  <si>
    <t>Test Subscription1</t>
  </si>
  <si>
    <t>Test_Statistical_Subscription1,ContinuousCellTraceSubscription</t>
  </si>
  <si>
    <t>PM_Statistical1</t>
  </si>
  <si>
    <t>Testing1</t>
  </si>
  <si>
    <t>CSC_Testing1</t>
  </si>
  <si>
    <t>editing active subscription</t>
  </si>
  <si>
    <t>Descriptionchangepm334</t>
  </si>
  <si>
    <t>CSC_Testing1_Duplicate</t>
  </si>
  <si>
    <t>Test_UE_CREATE_SUBS1</t>
  </si>
  <si>
    <t>editing active subscription1</t>
  </si>
  <si>
    <t>Test_UE_CREATE_SUBS1_Duplicate</t>
  </si>
  <si>
    <t>Ctaf@TP1235</t>
  </si>
  <si>
    <r>
      <t>Enter nodename in "</t>
    </r>
    <r>
      <rPr>
        <b/>
        <sz val="11"/>
        <color theme="1"/>
        <rFont val="Calibri"/>
        <family val="2"/>
        <scheme val="minor"/>
      </rPr>
      <t>Description" J</t>
    </r>
    <r>
      <rPr>
        <sz val="11"/>
        <color theme="1"/>
        <rFont val="Calibri"/>
        <family val="2"/>
        <scheme val="minor"/>
      </rPr>
      <t xml:space="preserve"> column in row no 7 &amp; 8</t>
    </r>
  </si>
  <si>
    <t>DescriptionName</t>
  </si>
  <si>
    <t>Feature Name</t>
  </si>
  <si>
    <t xml:space="preserve"> Available Scripts</t>
  </si>
  <si>
    <t>Service Affecting Test Case Count</t>
  </si>
  <si>
    <t>Need to execute (Non SA)</t>
  </si>
  <si>
    <t>Need to execute (SA)</t>
  </si>
  <si>
    <t>PMIC</t>
  </si>
  <si>
    <t>Add Node (Web)</t>
  </si>
  <si>
    <t>FM</t>
  </si>
  <si>
    <t>SHM</t>
  </si>
  <si>
    <t>Client Scripting</t>
  </si>
  <si>
    <t>Log Viewer</t>
  </si>
  <si>
    <t>Topology Browser</t>
  </si>
  <si>
    <t>AMOS</t>
  </si>
  <si>
    <t>Network Explorer</t>
  </si>
  <si>
    <t xml:space="preserve"> Identity Access Management</t>
  </si>
  <si>
    <t>CM(Add,Synchronize &amp; Delete)</t>
  </si>
  <si>
    <t xml:space="preserve">License Control and Monitoring </t>
  </si>
  <si>
    <t>CMCLI</t>
  </si>
  <si>
    <t>Network Health Monitor</t>
  </si>
  <si>
    <t>Network Viewer</t>
  </si>
  <si>
    <t>NHC</t>
  </si>
  <si>
    <t>Security PKI</t>
  </si>
  <si>
    <t xml:space="preserve">Automatic ID assignment </t>
  </si>
  <si>
    <t>Winfiol</t>
  </si>
  <si>
    <t>Cell Management</t>
  </si>
  <si>
    <t>Parameter Management</t>
  </si>
  <si>
    <t>AutoProvisioning</t>
  </si>
  <si>
    <t>Release Independence</t>
  </si>
  <si>
    <t>User Management</t>
  </si>
  <si>
    <t>OPS</t>
  </si>
  <si>
    <t>Bulk Configuration</t>
  </si>
  <si>
    <t>High Availability</t>
  </si>
  <si>
    <t>FMX</t>
  </si>
  <si>
    <t>ESM</t>
  </si>
  <si>
    <t>PLM</t>
  </si>
  <si>
    <t>Configuration Management</t>
  </si>
  <si>
    <t>NCM</t>
  </si>
  <si>
    <t>Total Count Summary</t>
  </si>
  <si>
    <t>GUI-PM-00-3.3.1.robot</t>
  </si>
  <si>
    <t>GUI-PM-00-3.3.3.robot</t>
  </si>
  <si>
    <t>GUI-PM-00-3.3.4.robot</t>
  </si>
  <si>
    <t>GUI-PM-00-3.3.7.robot</t>
  </si>
  <si>
    <t>GUI-PM-00-3.3.9.robot</t>
  </si>
  <si>
    <t>GUI-PM-00-3.4.1.robot</t>
  </si>
  <si>
    <t>GUI-PM-00-3.3.2.robot</t>
  </si>
  <si>
    <t>GUI-PM-00-3.8.1.robot</t>
  </si>
  <si>
    <t>GUI-PM-00-3.8.2.robot</t>
  </si>
  <si>
    <t>GUI-PM-00-3.8.3.robot</t>
  </si>
  <si>
    <t>GUI-PM-00-3.8.4.robot</t>
  </si>
  <si>
    <t>GUI-PM-00-3.8.5.robot</t>
  </si>
  <si>
    <t>GUI-PM-00-3.8.6.robot</t>
  </si>
  <si>
    <t>GUI-PM-00-3.3.5.robot</t>
  </si>
  <si>
    <t>GUI-PM-00-3.10.2.robot</t>
  </si>
  <si>
    <t>GUI-PM-00-3.3.8.robot</t>
  </si>
  <si>
    <t>GUI-PM-00-3.18.1.robot</t>
  </si>
  <si>
    <t>GUI-PM-00-3.4.3.robot</t>
  </si>
  <si>
    <t>GUI-PM-00-3.4.5.robot</t>
  </si>
  <si>
    <t>GUI-PM-00-3.4.6.robot</t>
  </si>
  <si>
    <t>GUI-PM-00-3.1.7.robot</t>
  </si>
  <si>
    <t>GUI-PM-00-3.1.8.robot</t>
  </si>
  <si>
    <t>GUI-PM-00-3.13.1.robot</t>
  </si>
  <si>
    <t>GUI-PM-00-3.12.robot</t>
  </si>
  <si>
    <t>GUI-PM-00-3.9.3.robot</t>
  </si>
  <si>
    <t>GUI-PM-00-3.24.3.robot</t>
  </si>
  <si>
    <t>GUI-PM-00-3.9.1.robot</t>
  </si>
  <si>
    <t>GUI-PM-00-3.17.1.robot</t>
  </si>
  <si>
    <t>GUI-PM-00-3.1.14.robot</t>
  </si>
  <si>
    <t>GUI-PM-00-3.1.5.robot</t>
  </si>
  <si>
    <t>GUI-PM-00-3.1.6.robot</t>
  </si>
  <si>
    <t>GUI-PM-00-3.11.1.robot</t>
  </si>
  <si>
    <t>GUI-PM-00-3.11.2.robot</t>
  </si>
  <si>
    <t>GUI-PM-00-3.11.6.robot</t>
  </si>
  <si>
    <t>GUI-PM-00-3.14.1.robot</t>
  </si>
  <si>
    <t>GUI-PM-00-3.14.3.robot</t>
  </si>
  <si>
    <t>GUI-PM-00-3.14.6.robot</t>
  </si>
  <si>
    <t>GUI-PM-00-3.14.7.robot</t>
  </si>
  <si>
    <t>GUI-PM-00-3.15.1.robot</t>
  </si>
  <si>
    <t>GUI-PM-00-3.20.1.robot</t>
  </si>
  <si>
    <t>GUI-PM-00-3.20.2.robot</t>
  </si>
  <si>
    <t>GUI-PM-00-3.21.1.robot</t>
  </si>
  <si>
    <t>GUI-PM-00-3.21.2.robot</t>
  </si>
  <si>
    <t>GUI-PM-00-3.21.3.robot</t>
  </si>
  <si>
    <t>GUI-PM-00-3.21.4.robot</t>
  </si>
  <si>
    <t>GUI-PM-00-3.21.5.robot</t>
  </si>
  <si>
    <t>GUI-PM-01-3.1.11.robot</t>
  </si>
  <si>
    <t>GUI-PM-00-3.15.3.robot</t>
  </si>
  <si>
    <t>GUI-PM-00-3.15.6.robot</t>
  </si>
  <si>
    <t>GUI-PM-00-3.15.7.robot</t>
  </si>
  <si>
    <t>GUI-PM-00-3.16.1.robot</t>
  </si>
  <si>
    <t>GUI-PM-00-3.16.3.robot</t>
  </si>
  <si>
    <t>GUI-PM-00-3.16.4.robot</t>
  </si>
  <si>
    <t>GUI-PM-00-3.16.5.robot</t>
  </si>
  <si>
    <t>GUI-PM-00-3.16.7.robot</t>
  </si>
  <si>
    <t>GUI-PM-00-3.16.8.robot</t>
  </si>
  <si>
    <t>GUI-PM-00-3.4.7.robot</t>
  </si>
  <si>
    <t>GUI-PM-00-3.4.2.robot</t>
  </si>
  <si>
    <t>GUI-PM-00-3.7.2.robot</t>
  </si>
  <si>
    <t>GUI-PM-00-3.7.3.robot</t>
  </si>
  <si>
    <t>GUI-PM-00-3.7.1.robot</t>
  </si>
  <si>
    <t>GUI-PM-00-3.1.13.robot</t>
  </si>
  <si>
    <t>GUI-PM-00-3.2.1.robot</t>
  </si>
  <si>
    <t>GUI-PM-00-3.19.1.robot</t>
  </si>
  <si>
    <t>GUI-SHM-00-4.11.robot</t>
  </si>
  <si>
    <t>NetworkExplorer-Custom-3.6.1.1</t>
  </si>
  <si>
    <t>CSCF_MO_Testing1</t>
  </si>
  <si>
    <t>CSCF_MO_Testing_Duplicate1</t>
  </si>
  <si>
    <t>GAT testing_MO1</t>
  </si>
  <si>
    <t>GAT_Mo_testing_edit1</t>
  </si>
  <si>
    <t>GAT_Mo_testing1</t>
  </si>
  <si>
    <t>VpcTp</t>
  </si>
  <si>
    <t>Aal0TpVccTp</t>
  </si>
  <si>
    <t>pmBwLostCells</t>
  </si>
  <si>
    <t>pmBwErrBlocks</t>
  </si>
  <si>
    <t>RNC04RBS01</t>
  </si>
  <si>
    <t>BSC35</t>
  </si>
  <si>
    <t>BSC Recording Subscription</t>
  </si>
  <si>
    <t>BSC</t>
  </si>
  <si>
    <t>CSCF_Testing1_Duplicate</t>
  </si>
  <si>
    <t>LTE04dg2ERBS00001</t>
  </si>
  <si>
    <t>Test Active Subscription0;Test Active Subcription2</t>
  </si>
  <si>
    <t>ESM-3.3</t>
  </si>
  <si>
    <t>GUI-ESM-00-3.3.robot</t>
  </si>
  <si>
    <t>Navigate to Monitoring Dashboards in ESM GUI</t>
  </si>
  <si>
    <t>ESM-3.4</t>
  </si>
  <si>
    <t>GUI-ESM-00-3.4.robot</t>
  </si>
  <si>
    <t>Navigate to Performance and Optimization dashboards in ESM UI</t>
  </si>
  <si>
    <t>ESM-3.5</t>
  </si>
  <si>
    <t>GUI-ESM-00-3.5.robot</t>
  </si>
  <si>
    <t>Navigate to Provisioning dashboards in ESM UI</t>
  </si>
  <si>
    <t>ESM-3.6</t>
  </si>
  <si>
    <t>GUI-ESM-00-3.6.robot</t>
  </si>
  <si>
    <t>Navigate to System dashboards in ESM UI</t>
  </si>
  <si>
    <t>ESM-3.7</t>
  </si>
  <si>
    <t>GUI-ESM-00-3.7.robot</t>
  </si>
  <si>
    <t>Navigate to Security dashboards in ENM UI</t>
  </si>
  <si>
    <t>N</t>
  </si>
  <si>
    <t>svc-1-httpd</t>
  </si>
  <si>
    <t>svc-1-shmcoreserv</t>
  </si>
  <si>
    <t>BB47</t>
  </si>
  <si>
    <t>BB47;BB41</t>
  </si>
  <si>
    <t>BB47;BB40</t>
  </si>
  <si>
    <t>BB40,BB47</t>
  </si>
  <si>
    <t>Test_Subscription2</t>
  </si>
  <si>
    <t>svc-1-flsserv</t>
  </si>
  <si>
    <t>cloud-user</t>
  </si>
  <si>
    <t>ENM_External_Entity_CA</t>
  </si>
  <si>
    <t>Savesearch</t>
  </si>
  <si>
    <t>CollectionName</t>
  </si>
  <si>
    <t>save_search</t>
  </si>
  <si>
    <t>collection_name</t>
  </si>
  <si>
    <t>shmsavesearch</t>
  </si>
  <si>
    <t>Er1c550n@1234568</t>
  </si>
  <si>
    <t>GAT_user1234</t>
  </si>
  <si>
    <t>CBT01-02-BB6648</t>
  </si>
  <si>
    <t>ManagBackup</t>
  </si>
  <si>
    <t>933400_Shelbiana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</si>
</sst>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8"/>
      <name val="Calibri"/>
      <family val="2"/>
    </font>
    <font>
      <sz val="8"/>
      <name val="Calibri"/>
      <family val="2"/>
    </font>
    <font>
      <sz val="8"/>
      <name val="Calibri"/>
      <family val="2"/>
    </font>
    <font>
      <b/>
      <sz val="11"/>
      <color theme="0"/>
      <name val="Calibri"/>
      <family val="2"/>
      <scheme val="minor"/>
    </font>
    <font>
      <u/>
      <sz val="11"/>
      <color theme="10"/>
      <name val="Calibri"/>
      <family val="2"/>
      <scheme val="minor"/>
    </font>
    <font>
      <sz val="9"/>
      <color indexed="81"/>
      <name val="Tahoma"/>
      <family val="2"/>
    </font>
    <font>
      <b/>
      <sz val="11"/>
      <color theme="1"/>
      <name val="Calibri"/>
      <family val="2"/>
      <scheme val="minor"/>
    </font>
    <font>
      <sz val="11"/>
      <color theme="1"/>
      <name val="Arial"/>
      <family val="2"/>
    </font>
    <font>
      <b/>
      <sz val="9"/>
      <color indexed="81"/>
      <name val="Tahoma"/>
      <family val="2"/>
    </font>
    <font>
      <u/>
      <sz val="11"/>
      <color theme="1"/>
      <name val="Calibri"/>
      <family val="2"/>
      <scheme val="minor"/>
    </font>
    <font>
      <sz val="11"/>
      <color rgb="FFFF0000"/>
      <name val="Calibri"/>
      <family val="2"/>
      <scheme val="minor"/>
    </font>
    <font>
      <sz val="9"/>
      <name val="Bookman Old Style"/>
      <family val="1"/>
    </font>
    <font>
      <b/>
      <sz val="9"/>
      <name val="Bookman Old Style"/>
      <family val="1"/>
    </font>
    <font>
      <b/>
      <sz val="9"/>
      <color theme="1"/>
      <name val="Bookman Old Style"/>
      <family val="1"/>
    </font>
    <font>
      <sz val="9"/>
      <color theme="1"/>
      <name val="Calibri"/>
      <family val="2"/>
      <scheme val="minor"/>
    </font>
    <font>
      <sz val="9"/>
      <color theme="1"/>
      <name val="Bookman Old Style"/>
      <family val="1"/>
    </font>
    <font>
      <sz val="9"/>
      <color rgb="FFFF0000"/>
      <name val="Calibri"/>
      <family val="2"/>
      <scheme val="minor"/>
    </font>
    <font>
      <b/>
      <sz val="9"/>
      <color rgb="FFFF0000"/>
      <name val="Bookman Old Style"/>
      <family val="1"/>
    </font>
    <font>
      <sz val="9"/>
      <color rgb="FFFF0000"/>
      <name val="Bookman Old Style"/>
      <family val="1"/>
    </font>
    <font>
      <sz val="10"/>
      <name val="Arial"/>
      <family val="2"/>
    </font>
    <font>
      <sz val="8"/>
      <name val="Calibri"/>
      <family val="2"/>
      <scheme val="minor"/>
    </font>
    <font>
      <sz val="10"/>
      <color theme="1"/>
      <name val="Calibri"/>
      <family val="2"/>
      <scheme val="minor"/>
    </font>
    <font>
      <sz val="9"/>
      <color theme="1"/>
      <name val="Arial"/>
      <family val="2"/>
    </font>
    <font>
      <b/>
      <sz val="10"/>
      <color theme="0"/>
      <name val="Calibri"/>
      <family val="2"/>
      <scheme val="minor"/>
    </font>
    <font>
      <b/>
      <sz val="10"/>
      <name val="Bookman Old Style"/>
      <family val="1"/>
    </font>
    <font>
      <b/>
      <sz val="10"/>
      <color theme="1"/>
      <name val="Bookman Old Style"/>
      <family val="1"/>
    </font>
    <font>
      <b/>
      <sz val="10"/>
      <color theme="1"/>
      <name val="Calibri"/>
      <family val="2"/>
      <scheme val="minor"/>
    </font>
    <font>
      <sz val="11"/>
      <name val="Calibri"/>
      <family val="2"/>
      <scheme val="minor"/>
    </font>
    <font>
      <b/>
      <sz val="14"/>
      <color rgb="FFFF0000"/>
      <name val="Bookman Old Style"/>
      <family val="1"/>
    </font>
    <font>
      <b/>
      <sz val="12"/>
      <color theme="0"/>
      <name val="Bodoni MT Condensed"/>
      <family val="1"/>
    </font>
    <font>
      <sz val="12"/>
      <color theme="1"/>
      <name val="Aparajita"/>
      <family val="1"/>
    </font>
    <font>
      <b/>
      <sz val="12"/>
      <color theme="1"/>
      <name val="Arial Black"/>
      <family val="2"/>
    </font>
    <font>
      <b/>
      <sz val="12"/>
      <color theme="1"/>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4" tint="-0.249977111117893"/>
        <bgColor indexed="64"/>
      </patternFill>
    </fill>
    <fill>
      <patternFill patternType="solid">
        <fgColor rgb="FF0070C0"/>
        <bgColor indexed="64"/>
      </patternFill>
    </fill>
    <fill>
      <patternFill patternType="solid">
        <fgColor theme="2"/>
        <bgColor indexed="64"/>
      </patternFill>
    </fill>
    <fill>
      <patternFill patternType="solid">
        <fgColor theme="9" tint="0.39997558519241921"/>
        <bgColor indexed="64"/>
      </patternFill>
    </fill>
    <fill>
      <patternFill patternType="solid">
        <fgColor theme="0"/>
        <bgColor indexed="64"/>
      </patternFill>
    </fill>
    <fill>
      <patternFill patternType="solid">
        <fgColor theme="9"/>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FF0000"/>
        <bgColor indexed="64"/>
      </patternFill>
    </fill>
    <fill>
      <patternFill patternType="solid">
        <fgColor theme="5" tint="-0.249977111117893"/>
        <bgColor indexed="64"/>
      </patternFill>
    </fill>
    <fill>
      <patternFill patternType="solid">
        <fgColor rgb="FF00B050"/>
        <bgColor indexed="64"/>
      </patternFill>
    </fill>
    <fill>
      <patternFill patternType="solid">
        <fgColor rgb="FFFFC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3">
    <xf numFmtId="0" fontId="0" fillId="0" borderId="0"/>
    <xf numFmtId="0" fontId="5" fillId="0" borderId="0" applyNumberFormat="0" applyFill="0" applyBorder="0" applyAlignment="0" applyProtection="0"/>
    <xf numFmtId="0" fontId="20" fillId="0" borderId="0"/>
  </cellStyleXfs>
  <cellXfs count="213">
    <xf numFmtId="0" fontId="0" fillId="0" borderId="0" xfId="0"/>
    <xf numFmtId="49" fontId="0" fillId="0" borderId="0" xfId="0" applyNumberFormat="1"/>
    <xf numFmtId="0" fontId="0" fillId="2" borderId="1" xfId="0" applyFill="1" applyBorder="1"/>
    <xf numFmtId="0" fontId="0" fillId="3" borderId="1" xfId="0" applyFill="1" applyBorder="1"/>
    <xf numFmtId="0" fontId="0" fillId="4" borderId="1" xfId="0" applyFill="1" applyBorder="1"/>
    <xf numFmtId="0" fontId="0" fillId="4" borderId="1" xfId="0" applyFill="1" applyBorder="1" applyAlignment="1">
      <alignment horizontal="left"/>
    </xf>
    <xf numFmtId="0" fontId="0" fillId="5" borderId="1" xfId="0" applyFill="1" applyBorder="1"/>
    <xf numFmtId="0" fontId="4" fillId="6" borderId="1" xfId="0" applyFont="1" applyFill="1" applyBorder="1"/>
    <xf numFmtId="0" fontId="0" fillId="0" borderId="1" xfId="0" applyBorder="1"/>
    <xf numFmtId="0" fontId="4" fillId="7" borderId="1" xfId="0" applyFont="1" applyFill="1" applyBorder="1"/>
    <xf numFmtId="0" fontId="5" fillId="5" borderId="1" xfId="1" applyFill="1" applyBorder="1"/>
    <xf numFmtId="0" fontId="5" fillId="4" borderId="1" xfId="1" applyFill="1" applyBorder="1"/>
    <xf numFmtId="49" fontId="4" fillId="7" borderId="1" xfId="0" applyNumberFormat="1" applyFont="1" applyFill="1" applyBorder="1"/>
    <xf numFmtId="0" fontId="0" fillId="0" borderId="1" xfId="0" applyBorder="1" applyAlignment="1">
      <alignment horizontal="center"/>
    </xf>
    <xf numFmtId="0" fontId="4" fillId="7" borderId="1" xfId="0" applyFont="1" applyFill="1" applyBorder="1" applyAlignment="1">
      <alignment horizontal="center"/>
    </xf>
    <xf numFmtId="0" fontId="0" fillId="0" borderId="1" xfId="0" applyBorder="1" applyAlignment="1">
      <alignment wrapText="1"/>
    </xf>
    <xf numFmtId="0" fontId="0" fillId="2" borderId="4" xfId="0" applyFill="1" applyBorder="1"/>
    <xf numFmtId="0" fontId="0" fillId="3" borderId="4" xfId="0" applyFill="1" applyBorder="1"/>
    <xf numFmtId="0" fontId="0" fillId="4" borderId="1" xfId="0" applyFill="1" applyBorder="1" applyAlignment="1">
      <alignment wrapText="1"/>
    </xf>
    <xf numFmtId="0" fontId="0" fillId="5" borderId="1" xfId="0" applyFill="1" applyBorder="1" applyAlignment="1">
      <alignment wrapText="1"/>
    </xf>
    <xf numFmtId="21" fontId="0" fillId="4" borderId="1" xfId="0" applyNumberFormat="1" applyFill="1" applyBorder="1"/>
    <xf numFmtId="49" fontId="0" fillId="4" borderId="1" xfId="0" applyNumberFormat="1" applyFill="1" applyBorder="1"/>
    <xf numFmtId="0" fontId="8" fillId="3" borderId="1" xfId="0" applyFont="1" applyFill="1" applyBorder="1"/>
    <xf numFmtId="0" fontId="0" fillId="8" borderId="1" xfId="0" applyFill="1" applyBorder="1"/>
    <xf numFmtId="0" fontId="4" fillId="7" borderId="4" xfId="0" applyFont="1" applyFill="1" applyBorder="1"/>
    <xf numFmtId="0" fontId="0" fillId="3" borderId="1" xfId="0" applyFill="1" applyBorder="1" applyAlignment="1">
      <alignment wrapText="1"/>
    </xf>
    <xf numFmtId="0" fontId="4" fillId="7" borderId="5" xfId="0" applyFont="1" applyFill="1" applyBorder="1"/>
    <xf numFmtId="0" fontId="0" fillId="2" borderId="0" xfId="0" applyFill="1"/>
    <xf numFmtId="0" fontId="0" fillId="4" borderId="0" xfId="0" applyFill="1"/>
    <xf numFmtId="0" fontId="10" fillId="4" borderId="1" xfId="1" applyFont="1" applyFill="1" applyBorder="1"/>
    <xf numFmtId="0" fontId="0" fillId="5" borderId="4" xfId="0" applyFill="1" applyBorder="1"/>
    <xf numFmtId="0" fontId="11" fillId="4" borderId="1" xfId="0" applyFont="1" applyFill="1" applyBorder="1"/>
    <xf numFmtId="0" fontId="11" fillId="0" borderId="1" xfId="0" applyFont="1" applyBorder="1" applyAlignment="1">
      <alignment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0" fillId="0" borderId="0" xfId="0" applyAlignment="1">
      <alignment horizontal="center"/>
    </xf>
    <xf numFmtId="0" fontId="0" fillId="9" borderId="0" xfId="0" applyFill="1" applyAlignment="1">
      <alignment vertical="center"/>
    </xf>
    <xf numFmtId="0" fontId="0" fillId="10" borderId="1" xfId="0" applyFill="1" applyBorder="1"/>
    <xf numFmtId="0" fontId="4" fillId="11" borderId="1" xfId="0" applyFont="1" applyFill="1" applyBorder="1"/>
    <xf numFmtId="0" fontId="13" fillId="12" borderId="1" xfId="0" applyFont="1" applyFill="1" applyBorder="1" applyAlignment="1">
      <alignment horizontal="center" vertical="center"/>
    </xf>
    <xf numFmtId="0" fontId="7" fillId="13" borderId="1" xfId="0" applyFont="1" applyFill="1" applyBorder="1" applyAlignment="1">
      <alignment horizontal="center" vertical="center"/>
    </xf>
    <xf numFmtId="0" fontId="12" fillId="0" borderId="5" xfId="0" applyFont="1" applyBorder="1" applyAlignment="1">
      <alignment horizontal="center" vertical="center" wrapText="1"/>
    </xf>
    <xf numFmtId="0" fontId="0" fillId="0" borderId="6" xfId="0" applyBorder="1"/>
    <xf numFmtId="0" fontId="14" fillId="9" borderId="1" xfId="0" applyFont="1" applyFill="1" applyBorder="1" applyAlignment="1">
      <alignment horizontal="center" vertical="center"/>
    </xf>
    <xf numFmtId="0" fontId="15" fillId="0" borderId="7" xfId="0" applyFont="1" applyBorder="1" applyAlignment="1">
      <alignment wrapText="1"/>
    </xf>
    <xf numFmtId="0" fontId="15" fillId="0" borderId="1" xfId="0" applyFont="1" applyBorder="1" applyAlignment="1">
      <alignment wrapText="1"/>
    </xf>
    <xf numFmtId="0" fontId="15" fillId="0" borderId="0" xfId="0" applyFont="1" applyAlignment="1">
      <alignment wrapText="1"/>
    </xf>
    <xf numFmtId="9" fontId="16" fillId="0" borderId="1" xfId="0" applyNumberFormat="1" applyFont="1" applyBorder="1" applyAlignment="1">
      <alignment horizontal="center" vertical="center"/>
    </xf>
    <xf numFmtId="9" fontId="16" fillId="0" borderId="0" xfId="0" applyNumberFormat="1" applyFont="1" applyAlignment="1">
      <alignment horizontal="center" vertical="center"/>
    </xf>
    <xf numFmtId="0" fontId="14" fillId="14" borderId="1" xfId="0" applyFont="1" applyFill="1" applyBorder="1" applyAlignment="1">
      <alignment horizontal="center" vertical="center"/>
    </xf>
    <xf numFmtId="0" fontId="17" fillId="0" borderId="1" xfId="0" applyFont="1" applyBorder="1" applyAlignment="1">
      <alignment wrapText="1"/>
    </xf>
    <xf numFmtId="0" fontId="16" fillId="0" borderId="1" xfId="0" applyFont="1" applyBorder="1" applyAlignment="1">
      <alignment horizontal="left" vertical="center" wrapText="1"/>
    </xf>
    <xf numFmtId="0" fontId="19" fillId="0" borderId="1" xfId="0" applyFont="1" applyBorder="1" applyAlignment="1">
      <alignment horizontal="left" vertical="center" wrapText="1"/>
    </xf>
    <xf numFmtId="0" fontId="16" fillId="0" borderId="1" xfId="0" applyFont="1" applyBorder="1" applyAlignment="1">
      <alignment horizontal="left" vertical="center"/>
    </xf>
    <xf numFmtId="0" fontId="16" fillId="0" borderId="1" xfId="0" applyFont="1" applyBorder="1" applyAlignment="1">
      <alignment horizontal="left" vertical="top"/>
    </xf>
    <xf numFmtId="0" fontId="16" fillId="0" borderId="1" xfId="0" applyFont="1" applyBorder="1" applyAlignment="1">
      <alignment horizontal="center" vertical="center"/>
    </xf>
    <xf numFmtId="0" fontId="16" fillId="0" borderId="1" xfId="0" applyFont="1" applyBorder="1" applyAlignment="1">
      <alignment vertical="center"/>
    </xf>
    <xf numFmtId="9" fontId="16" fillId="0" borderId="1" xfId="0" applyNumberFormat="1" applyFont="1" applyBorder="1" applyAlignment="1">
      <alignment vertical="center"/>
    </xf>
    <xf numFmtId="0" fontId="16" fillId="10" borderId="1" xfId="0" applyFont="1" applyFill="1" applyBorder="1" applyAlignment="1">
      <alignment horizontal="center" vertical="center"/>
    </xf>
    <xf numFmtId="0" fontId="16" fillId="10" borderId="1" xfId="0" applyFont="1" applyFill="1" applyBorder="1" applyAlignment="1">
      <alignment horizontal="center" vertical="top"/>
    </xf>
    <xf numFmtId="0" fontId="14" fillId="12" borderId="1" xfId="0" applyFont="1" applyFill="1" applyBorder="1" applyAlignment="1">
      <alignment horizontal="center"/>
    </xf>
    <xf numFmtId="0" fontId="0" fillId="13" borderId="0" xfId="0" applyFill="1"/>
    <xf numFmtId="0" fontId="16" fillId="10" borderId="5" xfId="0" applyFont="1" applyFill="1" applyBorder="1" applyAlignment="1">
      <alignment horizontal="center" vertical="center"/>
    </xf>
    <xf numFmtId="0" fontId="0" fillId="2" borderId="5" xfId="0" applyFill="1" applyBorder="1"/>
    <xf numFmtId="0" fontId="8" fillId="3" borderId="5" xfId="0" applyFont="1" applyFill="1" applyBorder="1"/>
    <xf numFmtId="0" fontId="16" fillId="10" borderId="5" xfId="0" applyFont="1" applyFill="1" applyBorder="1" applyAlignment="1">
      <alignment horizontal="center" vertical="top"/>
    </xf>
    <xf numFmtId="0" fontId="8" fillId="10" borderId="1" xfId="0" applyFont="1" applyFill="1" applyBorder="1"/>
    <xf numFmtId="0" fontId="16" fillId="0" borderId="0" xfId="0" applyFont="1" applyAlignment="1">
      <alignment horizontal="left" vertical="center"/>
    </xf>
    <xf numFmtId="0" fontId="12" fillId="0" borderId="1" xfId="0" applyFont="1" applyBorder="1" applyAlignment="1">
      <alignment horizontal="center" vertical="center"/>
    </xf>
    <xf numFmtId="0" fontId="12" fillId="0" borderId="1" xfId="2" applyFont="1" applyBorder="1" applyAlignment="1">
      <alignment horizontal="center" vertical="center" wrapText="1"/>
    </xf>
    <xf numFmtId="0" fontId="12" fillId="0" borderId="1" xfId="2" applyFont="1" applyBorder="1" applyAlignment="1">
      <alignment horizontal="center" wrapText="1"/>
    </xf>
    <xf numFmtId="0" fontId="16" fillId="0" borderId="1" xfId="0" applyFont="1" applyBorder="1"/>
    <xf numFmtId="0" fontId="14" fillId="14" borderId="1" xfId="0" applyFont="1" applyFill="1" applyBorder="1" applyAlignment="1">
      <alignment vertical="center"/>
    </xf>
    <xf numFmtId="0" fontId="16" fillId="10" borderId="1" xfId="0" applyFont="1" applyFill="1" applyBorder="1" applyAlignment="1">
      <alignment horizontal="center" wrapText="1"/>
    </xf>
    <xf numFmtId="0" fontId="16" fillId="10" borderId="0" xfId="0" applyFont="1" applyFill="1" applyAlignment="1">
      <alignment horizontal="center" vertical="center" wrapText="1"/>
    </xf>
    <xf numFmtId="0" fontId="16" fillId="16" borderId="1" xfId="0" applyFont="1" applyFill="1" applyBorder="1" applyAlignment="1">
      <alignment horizontal="left" vertical="center"/>
    </xf>
    <xf numFmtId="0" fontId="22" fillId="0" borderId="0" xfId="0" applyFont="1"/>
    <xf numFmtId="0" fontId="15" fillId="2" borderId="1" xfId="0" applyFont="1" applyFill="1" applyBorder="1"/>
    <xf numFmtId="0" fontId="23" fillId="3" borderId="1" xfId="0" applyFont="1" applyFill="1" applyBorder="1"/>
    <xf numFmtId="0" fontId="15" fillId="4" borderId="1" xfId="0" applyFont="1" applyFill="1" applyBorder="1"/>
    <xf numFmtId="0" fontId="15" fillId="5" borderId="1" xfId="0" applyFont="1" applyFill="1" applyBorder="1"/>
    <xf numFmtId="0" fontId="24" fillId="6" borderId="1" xfId="0" applyFont="1" applyFill="1" applyBorder="1"/>
    <xf numFmtId="0" fontId="24" fillId="7" borderId="1" xfId="0" applyFont="1" applyFill="1" applyBorder="1"/>
    <xf numFmtId="0" fontId="25" fillId="12" borderId="1" xfId="0" applyFont="1" applyFill="1" applyBorder="1" applyAlignment="1">
      <alignment horizontal="center" vertical="center"/>
    </xf>
    <xf numFmtId="0" fontId="26" fillId="14" borderId="1" xfId="0" applyFont="1" applyFill="1" applyBorder="1" applyAlignment="1">
      <alignment vertical="center"/>
    </xf>
    <xf numFmtId="0" fontId="27" fillId="13" borderId="1" xfId="0" applyFont="1" applyFill="1" applyBorder="1" applyAlignment="1">
      <alignment horizontal="center" vertical="center"/>
    </xf>
    <xf numFmtId="0" fontId="12" fillId="16" borderId="1" xfId="0" applyFont="1" applyFill="1" applyBorder="1" applyAlignment="1">
      <alignment horizontal="left" vertical="center" wrapText="1"/>
    </xf>
    <xf numFmtId="0" fontId="15" fillId="10" borderId="1" xfId="0" applyFont="1" applyFill="1" applyBorder="1"/>
    <xf numFmtId="0" fontId="16" fillId="10" borderId="1" xfId="0" applyFont="1" applyFill="1" applyBorder="1" applyAlignment="1">
      <alignment horizontal="left" vertical="center"/>
    </xf>
    <xf numFmtId="0" fontId="16" fillId="10" borderId="1" xfId="0" applyFont="1" applyFill="1" applyBorder="1"/>
    <xf numFmtId="0" fontId="16" fillId="10" borderId="1" xfId="0" applyFont="1" applyFill="1" applyBorder="1" applyAlignment="1">
      <alignment vertical="center" wrapText="1"/>
    </xf>
    <xf numFmtId="0" fontId="16" fillId="10" borderId="1" xfId="0" applyFont="1" applyFill="1" applyBorder="1" applyAlignment="1">
      <alignment horizontal="left" vertical="center" wrapText="1"/>
    </xf>
    <xf numFmtId="0" fontId="16" fillId="10" borderId="1" xfId="0" applyFont="1" applyFill="1" applyBorder="1" applyAlignment="1">
      <alignment wrapText="1"/>
    </xf>
    <xf numFmtId="0" fontId="16" fillId="10" borderId="1" xfId="0" applyFont="1" applyFill="1" applyBorder="1" applyAlignment="1">
      <alignment horizontal="center"/>
    </xf>
    <xf numFmtId="0" fontId="14" fillId="12" borderId="1" xfId="0" applyFon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28" fillId="0" borderId="1" xfId="0" applyFont="1"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0" xfId="0" applyAlignment="1">
      <alignment horizontal="center" vertical="center"/>
    </xf>
    <xf numFmtId="0" fontId="12" fillId="15" borderId="1" xfId="0" applyFont="1" applyFill="1" applyBorder="1" applyAlignment="1">
      <alignment horizontal="left" vertical="center" wrapText="1"/>
    </xf>
    <xf numFmtId="0" fontId="19" fillId="0" borderId="1" xfId="0" applyFont="1" applyBorder="1" applyAlignment="1">
      <alignment vertical="center"/>
    </xf>
    <xf numFmtId="0" fontId="0" fillId="0" borderId="1" xfId="0" applyBorder="1" applyAlignment="1">
      <alignment vertical="center"/>
    </xf>
    <xf numFmtId="0" fontId="16" fillId="10" borderId="1" xfId="0" applyFont="1" applyFill="1" applyBorder="1" applyAlignment="1">
      <alignment vertical="center"/>
    </xf>
    <xf numFmtId="0" fontId="0" fillId="16" borderId="1" xfId="0" applyFill="1" applyBorder="1" applyAlignment="1">
      <alignment vertical="center"/>
    </xf>
    <xf numFmtId="0" fontId="0" fillId="10" borderId="1" xfId="0" applyFill="1" applyBorder="1" applyAlignment="1">
      <alignment vertical="center"/>
    </xf>
    <xf numFmtId="0" fontId="4" fillId="7" borderId="1" xfId="0" applyFont="1" applyFill="1" applyBorder="1" applyProtection="1">
      <protection locked="0"/>
    </xf>
    <xf numFmtId="0" fontId="0" fillId="3" borderId="1" xfId="0" applyFill="1" applyBorder="1" applyProtection="1">
      <protection locked="0"/>
    </xf>
    <xf numFmtId="0" fontId="0" fillId="3" borderId="0" xfId="0" applyFill="1" applyProtection="1">
      <protection locked="0"/>
    </xf>
    <xf numFmtId="0" fontId="0" fillId="3" borderId="4" xfId="0" applyFill="1" applyBorder="1" applyProtection="1">
      <protection locked="0"/>
    </xf>
    <xf numFmtId="0" fontId="0" fillId="0" borderId="0" xfId="0" applyProtection="1">
      <protection locked="0"/>
    </xf>
    <xf numFmtId="0" fontId="0" fillId="10" borderId="4" xfId="0" applyFill="1" applyBorder="1"/>
    <xf numFmtId="0" fontId="0" fillId="10" borderId="1" xfId="0" applyFill="1" applyBorder="1" applyAlignment="1">
      <alignment wrapText="1"/>
    </xf>
    <xf numFmtId="0" fontId="12" fillId="0" borderId="1" xfId="2" applyFont="1" applyBorder="1" applyAlignment="1">
      <alignment horizontal="left" vertical="center" wrapText="1"/>
    </xf>
    <xf numFmtId="0" fontId="29" fillId="0" borderId="1" xfId="0" applyFont="1" applyBorder="1" applyAlignment="1">
      <alignment horizontal="left" vertical="center"/>
    </xf>
    <xf numFmtId="0" fontId="19" fillId="0" borderId="1" xfId="0" applyFont="1" applyBorder="1" applyAlignment="1">
      <alignment horizontal="left" vertical="center"/>
    </xf>
    <xf numFmtId="0" fontId="18" fillId="0" borderId="1" xfId="0" applyFont="1" applyBorder="1" applyAlignment="1">
      <alignment horizontal="left" vertical="center"/>
    </xf>
    <xf numFmtId="0" fontId="14" fillId="10" borderId="1" xfId="0" applyFont="1" applyFill="1" applyBorder="1" applyAlignment="1">
      <alignment vertical="center" wrapText="1"/>
    </xf>
    <xf numFmtId="0" fontId="14" fillId="10" borderId="1" xfId="0" applyFont="1" applyFill="1" applyBorder="1" applyAlignment="1">
      <alignment horizontal="left" vertical="center" wrapText="1"/>
    </xf>
    <xf numFmtId="0" fontId="12" fillId="16" borderId="1" xfId="0" applyFont="1" applyFill="1" applyBorder="1" applyAlignment="1">
      <alignment horizontal="center" vertical="center" wrapText="1"/>
    </xf>
    <xf numFmtId="0" fontId="0" fillId="0" borderId="5" xfId="0" applyBorder="1"/>
    <xf numFmtId="0" fontId="18" fillId="10"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13" fillId="12" borderId="0" xfId="0" applyFont="1" applyFill="1" applyAlignment="1">
      <alignment horizontal="center" vertical="center"/>
    </xf>
    <xf numFmtId="0" fontId="16" fillId="16" borderId="1" xfId="0" applyFont="1" applyFill="1" applyBorder="1" applyAlignment="1">
      <alignment horizontal="left" vertical="top"/>
    </xf>
    <xf numFmtId="0" fontId="16" fillId="16" borderId="1" xfId="0" applyFont="1" applyFill="1" applyBorder="1" applyAlignment="1">
      <alignment horizontal="center" vertical="center"/>
    </xf>
    <xf numFmtId="0" fontId="0" fillId="13" borderId="1" xfId="0" applyFill="1" applyBorder="1"/>
    <xf numFmtId="0" fontId="0" fillId="0" borderId="1" xfId="0" applyBorder="1" applyAlignment="1">
      <alignment horizontal="left"/>
    </xf>
    <xf numFmtId="0" fontId="0" fillId="16" borderId="1" xfId="0" applyFill="1" applyBorder="1" applyAlignment="1">
      <alignment horizontal="left"/>
    </xf>
    <xf numFmtId="0" fontId="13" fillId="12" borderId="0" xfId="0" applyFont="1" applyFill="1" applyAlignment="1">
      <alignment horizontal="center" vertical="top"/>
    </xf>
    <xf numFmtId="0" fontId="14" fillId="12" borderId="5" xfId="0" applyFont="1" applyFill="1" applyBorder="1" applyAlignment="1">
      <alignment horizontal="center" vertical="top"/>
    </xf>
    <xf numFmtId="0" fontId="13" fillId="12" borderId="5" xfId="0" applyFont="1" applyFill="1" applyBorder="1" applyAlignment="1">
      <alignment horizontal="center" vertical="top"/>
    </xf>
    <xf numFmtId="49" fontId="0" fillId="0" borderId="1" xfId="0" applyNumberFormat="1" applyBorder="1"/>
    <xf numFmtId="49" fontId="7" fillId="0" borderId="1" xfId="0" applyNumberFormat="1" applyFont="1" applyBorder="1"/>
    <xf numFmtId="49" fontId="16" fillId="0" borderId="1" xfId="0" applyNumberFormat="1" applyFont="1" applyBorder="1" applyAlignment="1">
      <alignment horizontal="left" vertical="center"/>
    </xf>
    <xf numFmtId="0" fontId="16" fillId="10" borderId="1" xfId="0" applyFont="1" applyFill="1" applyBorder="1" applyAlignment="1">
      <alignment horizontal="center" vertical="center" wrapText="1"/>
    </xf>
    <xf numFmtId="0" fontId="0" fillId="13" borderId="5" xfId="0" applyFill="1" applyBorder="1"/>
    <xf numFmtId="0" fontId="0" fillId="10" borderId="1" xfId="0" applyFill="1" applyBorder="1" applyAlignment="1">
      <alignment horizontal="center"/>
    </xf>
    <xf numFmtId="0" fontId="19" fillId="0" borderId="1" xfId="0" applyFont="1" applyBorder="1" applyAlignment="1">
      <alignment horizontal="center" vertical="center" wrapText="1"/>
    </xf>
    <xf numFmtId="9" fontId="16" fillId="16" borderId="1" xfId="0" applyNumberFormat="1" applyFont="1" applyFill="1" applyBorder="1" applyAlignment="1">
      <alignment horizontal="center" vertical="center"/>
    </xf>
    <xf numFmtId="0" fontId="16" fillId="0" borderId="0" xfId="0" applyFont="1" applyAlignment="1">
      <alignment horizontal="center" vertical="center"/>
    </xf>
    <xf numFmtId="0" fontId="16" fillId="10" borderId="6" xfId="0" applyFont="1" applyFill="1" applyBorder="1" applyAlignment="1">
      <alignment vertical="center" wrapText="1"/>
    </xf>
    <xf numFmtId="0" fontId="0" fillId="0" borderId="4" xfId="0" applyBorder="1" applyAlignment="1">
      <alignment vertical="center" wrapText="1"/>
    </xf>
    <xf numFmtId="0" fontId="12" fillId="16" borderId="1" xfId="0" applyFont="1" applyFill="1" applyBorder="1" applyAlignment="1">
      <alignment horizontal="center" vertical="center"/>
    </xf>
    <xf numFmtId="0" fontId="0" fillId="16" borderId="1" xfId="0" applyFill="1" applyBorder="1"/>
    <xf numFmtId="0" fontId="16" fillId="10" borderId="6" xfId="0" applyFont="1" applyFill="1" applyBorder="1" applyAlignment="1">
      <alignment horizontal="center"/>
    </xf>
    <xf numFmtId="0" fontId="0" fillId="10" borderId="1" xfId="0" applyFill="1" applyBorder="1" applyAlignment="1">
      <alignment horizontal="center" vertical="center" wrapText="1"/>
    </xf>
    <xf numFmtId="0" fontId="0" fillId="5" borderId="6" xfId="0" applyFill="1" applyBorder="1"/>
    <xf numFmtId="0" fontId="0" fillId="5" borderId="6" xfId="0" applyFill="1" applyBorder="1" applyAlignment="1">
      <alignment wrapText="1"/>
    </xf>
    <xf numFmtId="0" fontId="12" fillId="16" borderId="6" xfId="0" applyFont="1" applyFill="1" applyBorder="1" applyAlignment="1">
      <alignment horizontal="left" vertical="center"/>
    </xf>
    <xf numFmtId="0" fontId="0" fillId="5" borderId="9" xfId="0" applyFill="1" applyBorder="1"/>
    <xf numFmtId="0" fontId="19" fillId="0" borderId="1" xfId="0" applyFont="1" applyBorder="1"/>
    <xf numFmtId="0" fontId="4" fillId="7" borderId="8" xfId="0" applyFont="1" applyFill="1" applyBorder="1"/>
    <xf numFmtId="0" fontId="19" fillId="10" borderId="1" xfId="0" applyFont="1" applyFill="1" applyBorder="1" applyAlignment="1">
      <alignment horizontal="left" vertical="center"/>
    </xf>
    <xf numFmtId="0" fontId="11" fillId="0" borderId="1" xfId="0" applyFont="1" applyBorder="1" applyAlignment="1">
      <alignment horizontal="left"/>
    </xf>
    <xf numFmtId="0" fontId="19" fillId="0" borderId="6" xfId="0" applyFont="1" applyBorder="1" applyAlignment="1">
      <alignment horizontal="left" vertical="center"/>
    </xf>
    <xf numFmtId="0" fontId="19" fillId="0" borderId="1" xfId="0" applyFont="1" applyBorder="1" applyAlignment="1">
      <alignment horizontal="left" vertical="top"/>
    </xf>
    <xf numFmtId="0" fontId="0" fillId="10" borderId="0" xfId="0" applyFill="1"/>
    <xf numFmtId="0" fontId="16" fillId="16" borderId="6" xfId="0" applyFont="1" applyFill="1" applyBorder="1" applyAlignment="1">
      <alignment vertical="center"/>
    </xf>
    <xf numFmtId="0" fontId="24" fillId="7" borderId="5" xfId="0" applyFont="1" applyFill="1" applyBorder="1"/>
    <xf numFmtId="0" fontId="25" fillId="12" borderId="5" xfId="0" applyFont="1" applyFill="1" applyBorder="1" applyAlignment="1">
      <alignment horizontal="center" vertical="center"/>
    </xf>
    <xf numFmtId="0" fontId="26" fillId="14" borderId="5" xfId="0" applyFont="1" applyFill="1" applyBorder="1" applyAlignment="1">
      <alignment vertical="center"/>
    </xf>
    <xf numFmtId="0" fontId="27" fillId="13" borderId="5" xfId="0" applyFont="1" applyFill="1" applyBorder="1" applyAlignment="1">
      <alignment horizontal="center" vertical="center"/>
    </xf>
    <xf numFmtId="0" fontId="14" fillId="12" borderId="1" xfId="0" applyFont="1" applyFill="1" applyBorder="1" applyAlignment="1" applyProtection="1">
      <alignment horizontal="left" vertical="center"/>
      <protection locked="0"/>
    </xf>
    <xf numFmtId="0" fontId="15" fillId="0" borderId="1" xfId="0" applyFont="1" applyBorder="1"/>
    <xf numFmtId="0" fontId="30" fillId="7" borderId="1" xfId="0" applyFont="1" applyFill="1" applyBorder="1" applyAlignment="1">
      <alignment horizontal="center"/>
    </xf>
    <xf numFmtId="0" fontId="30" fillId="7" borderId="1" xfId="0" applyFont="1" applyFill="1" applyBorder="1" applyAlignment="1">
      <alignment horizontal="center" wrapText="1"/>
    </xf>
    <xf numFmtId="0" fontId="30" fillId="7" borderId="6" xfId="0" applyFont="1" applyFill="1" applyBorder="1" applyAlignment="1">
      <alignment horizontal="center" wrapText="1"/>
    </xf>
    <xf numFmtId="0" fontId="30" fillId="7" borderId="10" xfId="0" applyFont="1" applyFill="1" applyBorder="1" applyAlignment="1">
      <alignment horizontal="center" wrapText="1"/>
    </xf>
    <xf numFmtId="0" fontId="30" fillId="7" borderId="11" xfId="0" applyFont="1" applyFill="1" applyBorder="1" applyAlignment="1">
      <alignment horizontal="center" wrapText="1"/>
    </xf>
    <xf numFmtId="0" fontId="5" fillId="0" borderId="1" xfId="1" applyFill="1" applyBorder="1" applyAlignment="1">
      <alignment horizontal="center"/>
    </xf>
    <xf numFmtId="0" fontId="31" fillId="0" borderId="1" xfId="0" applyFont="1" applyBorder="1" applyAlignment="1">
      <alignment horizontal="center"/>
    </xf>
    <xf numFmtId="0" fontId="31" fillId="10" borderId="1" xfId="0" applyFont="1" applyFill="1" applyBorder="1" applyAlignment="1">
      <alignment horizontal="center"/>
    </xf>
    <xf numFmtId="0" fontId="0" fillId="0" borderId="12" xfId="0" applyBorder="1" applyAlignment="1">
      <alignment horizontal="center"/>
    </xf>
    <xf numFmtId="0" fontId="0" fillId="10" borderId="1" xfId="0" quotePrefix="1" applyFill="1" applyBorder="1" applyAlignment="1">
      <alignment horizontal="center"/>
    </xf>
    <xf numFmtId="0" fontId="5" fillId="0" borderId="7" xfId="1" applyFill="1" applyBorder="1" applyAlignment="1">
      <alignment horizontal="center"/>
    </xf>
    <xf numFmtId="0" fontId="31" fillId="0" borderId="7" xfId="0" applyFont="1" applyBorder="1" applyAlignment="1">
      <alignment horizontal="center"/>
    </xf>
    <xf numFmtId="0" fontId="5" fillId="0" borderId="7" xfId="1" applyBorder="1" applyAlignment="1">
      <alignment horizontal="center"/>
    </xf>
    <xf numFmtId="0" fontId="0" fillId="10" borderId="7" xfId="0" applyFill="1" applyBorder="1" applyAlignment="1">
      <alignment horizontal="center"/>
    </xf>
    <xf numFmtId="0" fontId="0" fillId="0" borderId="3" xfId="0" applyBorder="1" applyAlignment="1">
      <alignment horizontal="center"/>
    </xf>
    <xf numFmtId="0" fontId="32" fillId="18" borderId="7" xfId="0" applyFont="1" applyFill="1" applyBorder="1" applyAlignment="1">
      <alignment horizontal="center"/>
    </xf>
    <xf numFmtId="0" fontId="33" fillId="18" borderId="7" xfId="0" applyFont="1" applyFill="1" applyBorder="1" applyAlignment="1">
      <alignment horizontal="center"/>
    </xf>
    <xf numFmtId="0" fontId="33" fillId="18" borderId="2" xfId="0" applyFont="1" applyFill="1" applyBorder="1" applyAlignment="1">
      <alignment horizontal="center"/>
    </xf>
    <xf numFmtId="0" fontId="33" fillId="18" borderId="13" xfId="0" applyFont="1" applyFill="1" applyBorder="1" applyAlignment="1">
      <alignment horizontal="center"/>
    </xf>
    <xf numFmtId="0" fontId="33" fillId="18" borderId="14" xfId="0" applyFont="1" applyFill="1" applyBorder="1" applyAlignment="1">
      <alignment horizontal="center"/>
    </xf>
    <xf numFmtId="0" fontId="0" fillId="17" borderId="1" xfId="0" applyFill="1" applyBorder="1" applyAlignment="1">
      <alignment horizontal="center"/>
    </xf>
    <xf numFmtId="0" fontId="0" fillId="16" borderId="1" xfId="0" applyFill="1" applyBorder="1" applyAlignment="1">
      <alignment horizontal="center"/>
    </xf>
    <xf numFmtId="0" fontId="0" fillId="0" borderId="1" xfId="0" applyBorder="1" applyAlignment="1">
      <alignment vertical="center" wrapText="1"/>
    </xf>
    <xf numFmtId="0" fontId="0" fillId="5" borderId="0" xfId="0" applyFill="1"/>
    <xf numFmtId="0" fontId="4" fillId="3" borderId="2" xfId="0" applyFont="1" applyFill="1" applyBorder="1" applyAlignment="1">
      <alignment horizontal="center"/>
    </xf>
    <xf numFmtId="0" fontId="4" fillId="3" borderId="3" xfId="0" applyFont="1" applyFill="1" applyBorder="1" applyAlignment="1">
      <alignment horizontal="center"/>
    </xf>
    <xf numFmtId="0" fontId="16" fillId="10" borderId="1" xfId="0" applyFont="1" applyFill="1" applyBorder="1" applyAlignment="1">
      <alignment horizontal="center" vertical="center" wrapText="1"/>
    </xf>
    <xf numFmtId="0" fontId="16" fillId="10" borderId="5" xfId="0" applyFont="1" applyFill="1" applyBorder="1" applyAlignment="1">
      <alignment horizontal="center" vertical="center"/>
    </xf>
    <xf numFmtId="0" fontId="16" fillId="10" borderId="4" xfId="0" applyFont="1" applyFill="1" applyBorder="1" applyAlignment="1">
      <alignment horizontal="center" vertical="center"/>
    </xf>
    <xf numFmtId="0" fontId="16" fillId="10" borderId="7" xfId="0" applyFont="1" applyFill="1" applyBorder="1" applyAlignment="1">
      <alignment horizontal="center" vertical="center"/>
    </xf>
    <xf numFmtId="0" fontId="0" fillId="0" borderId="5" xfId="0"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16" fillId="10" borderId="1" xfId="0" applyFont="1" applyFill="1" applyBorder="1" applyAlignment="1">
      <alignment horizontal="center" wrapText="1"/>
    </xf>
    <xf numFmtId="0" fontId="0" fillId="0" borderId="1" xfId="0" applyBorder="1" applyAlignment="1">
      <alignment horizontal="center" wrapText="1"/>
    </xf>
    <xf numFmtId="0" fontId="16" fillId="10" borderId="1" xfId="0" applyFont="1" applyFill="1"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16" fillId="0" borderId="1" xfId="0" applyFont="1" applyBorder="1" applyAlignment="1">
      <alignment horizontal="center" vertical="center"/>
    </xf>
    <xf numFmtId="0" fontId="16" fillId="10" borderId="1" xfId="0" applyFont="1" applyFill="1" applyBorder="1" applyAlignment="1">
      <alignment horizontal="left" vertical="center"/>
    </xf>
    <xf numFmtId="0" fontId="16" fillId="10" borderId="8" xfId="0" applyFont="1" applyFill="1" applyBorder="1" applyAlignment="1">
      <alignment horizontal="left" vertical="center" wrapText="1"/>
    </xf>
    <xf numFmtId="0" fontId="16" fillId="10" borderId="9" xfId="0" applyFont="1" applyFill="1" applyBorder="1" applyAlignment="1">
      <alignment horizontal="left" vertical="center" wrapText="1"/>
    </xf>
    <xf numFmtId="0" fontId="16" fillId="10" borderId="2" xfId="0" applyFont="1" applyFill="1" applyBorder="1" applyAlignment="1">
      <alignment horizontal="left" vertical="center" wrapText="1"/>
    </xf>
    <xf numFmtId="0" fontId="16" fillId="10" borderId="5" xfId="0" applyFont="1" applyFill="1" applyBorder="1" applyAlignment="1">
      <alignment horizontal="center" vertical="center" wrapText="1"/>
    </xf>
    <xf numFmtId="0" fontId="0" fillId="10" borderId="4" xfId="0" applyFill="1" applyBorder="1" applyAlignment="1">
      <alignment horizontal="center" vertical="center" wrapText="1"/>
    </xf>
    <xf numFmtId="0" fontId="0" fillId="10" borderId="7" xfId="0" applyFill="1" applyBorder="1" applyAlignment="1">
      <alignment horizontal="center" vertical="center" wrapText="1"/>
    </xf>
    <xf numFmtId="0" fontId="16" fillId="10" borderId="4" xfId="0" applyFont="1" applyFill="1" applyBorder="1" applyAlignment="1">
      <alignment horizontal="center" vertical="center" wrapText="1"/>
    </xf>
    <xf numFmtId="0" fontId="16" fillId="10" borderId="7" xfId="0" applyFont="1" applyFill="1" applyBorder="1" applyAlignment="1">
      <alignment horizontal="center" vertical="center" wrapText="1"/>
    </xf>
  </cellXfs>
  <cellStyles count="3">
    <cellStyle name="Hyperlink" xfId="1" builtinId="8"/>
    <cellStyle name="Normal" xfId="0" builtinId="0"/>
    <cellStyle name="Normal 3" xfId="2" xr:uid="{EBEEDD8F-46B6-4FD0-A192-8918C7F6B285}"/>
  </cellStyles>
  <dxfs count="37">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ctrlProps/ctrlProp1.xml><?xml version="1.0" encoding="utf-8"?>
<formControlPr xmlns="http://schemas.microsoft.com/office/spreadsheetml/2009/9/main" objectType="Label" lockText="1"/>
</file>

<file path=xl/ctrlProps/ctrlProp2.xml><?xml version="1.0" encoding="utf-8"?>
<formControlPr xmlns="http://schemas.microsoft.com/office/spreadsheetml/2009/9/main" objectType="Label" lockText="1"/>
</file>

<file path=xl/ctrlProps/ctrlProp3.xml><?xml version="1.0" encoding="utf-8"?>
<formControlPr xmlns="http://schemas.microsoft.com/office/spreadsheetml/2009/9/main" objectType="Label" lockText="1"/>
</file>

<file path=xl/ctrlProps/ctrlProp4.xml><?xml version="1.0" encoding="utf-8"?>
<formControlPr xmlns="http://schemas.microsoft.com/office/spreadsheetml/2009/9/main" objectType="Label" lockText="1"/>
</file>

<file path=xl/ctrlProps/ctrlProp5.xml><?xml version="1.0" encoding="utf-8"?>
<formControlPr xmlns="http://schemas.microsoft.com/office/spreadsheetml/2009/9/main" objectType="Label" lockText="1"/>
</file>

<file path=xl/ctrlProps/ctrlProp6.xml><?xml version="1.0" encoding="utf-8"?>
<formControlPr xmlns="http://schemas.microsoft.com/office/spreadsheetml/2009/9/main" objectType="Label" lockText="1"/>
</file>

<file path=xl/ctrlProps/ctrlProp7.xml><?xml version="1.0" encoding="utf-8"?>
<formControlPr xmlns="http://schemas.microsoft.com/office/spreadsheetml/2009/9/main" objectType="Label" lockText="1"/>
</file>

<file path=xl/ctrlProps/ctrlProp8.xml><?xml version="1.0" encoding="utf-8"?>
<formControlPr xmlns="http://schemas.microsoft.com/office/spreadsheetml/2009/9/main" objectType="Label" lockText="1"/>
</file>

<file path=xl/ctrlProps/ctrlProp9.xml><?xml version="1.0" encoding="utf-8"?>
<formControlPr xmlns="http://schemas.microsoft.com/office/spreadsheetml/2009/9/main" objectType="Label" lockText="1"/>
</file>

<file path=xl/ctrlProps/ctrlProp10.xml><?xml version="1.0" encoding="utf-8"?>
<formControlPr xmlns="http://schemas.microsoft.com/office/spreadsheetml/2009/9/main" objectType="Label" lockText="1"/>
</file>

<file path=xl/ctrlProps/ctrlProp11.xml><?xml version="1.0" encoding="utf-8"?>
<formControlPr xmlns="http://schemas.microsoft.com/office/spreadsheetml/2009/9/main" objectType="Label" lockText="1"/>
</file>

<file path=xl/ctrlProps/ctrlProp12.xml><?xml version="1.0" encoding="utf-8"?>
<formControlPr xmlns="http://schemas.microsoft.com/office/spreadsheetml/2009/9/main" objectType="Label" lockText="1"/>
</file>

<file path=xl/ctrlProps/ctrlProp13.xml><?xml version="1.0" encoding="utf-8"?>
<formControlPr xmlns="http://schemas.microsoft.com/office/spreadsheetml/2009/9/main" objectType="Label" lockText="1"/>
</file>

<file path=xl/ctrlProps/ctrlProp14.xml><?xml version="1.0" encoding="utf-8"?>
<formControlPr xmlns="http://schemas.microsoft.com/office/spreadsheetml/2009/9/main" objectType="Label" lockText="1"/>
</file>

<file path=xl/ctrlProps/ctrlProp15.xml><?xml version="1.0" encoding="utf-8"?>
<formControlPr xmlns="http://schemas.microsoft.com/office/spreadsheetml/2009/9/main" objectType="Label" lockText="1"/>
</file>

<file path=xl/ctrlProps/ctrlProp16.xml><?xml version="1.0" encoding="utf-8"?>
<formControlPr xmlns="http://schemas.microsoft.com/office/spreadsheetml/2009/9/main" objectType="Label" lockText="1"/>
</file>

<file path=xl/ctrlProps/ctrlProp17.xml><?xml version="1.0" encoding="utf-8"?>
<formControlPr xmlns="http://schemas.microsoft.com/office/spreadsheetml/2009/9/main" objectType="Label" lockText="1"/>
</file>

<file path=xl/ctrlProps/ctrlProp18.xml><?xml version="1.0" encoding="utf-8"?>
<formControlPr xmlns="http://schemas.microsoft.com/office/spreadsheetml/2009/9/main" objectType="Label" lockText="1"/>
</file>

<file path=xl/ctrlProps/ctrlProp19.xml><?xml version="1.0" encoding="utf-8"?>
<formControlPr xmlns="http://schemas.microsoft.com/office/spreadsheetml/2009/9/main" objectType="Label" lockText="1"/>
</file>

<file path=xl/ctrlProps/ctrlProp20.xml><?xml version="1.0" encoding="utf-8"?>
<formControlPr xmlns="http://schemas.microsoft.com/office/spreadsheetml/2009/9/main" objectType="Label" lockText="1"/>
</file>

<file path=xl/ctrlProps/ctrlProp21.xml><?xml version="1.0" encoding="utf-8"?>
<formControlPr xmlns="http://schemas.microsoft.com/office/spreadsheetml/2009/9/main" objectType="Label" lockText="1"/>
</file>

<file path=xl/ctrlProps/ctrlProp22.xml><?xml version="1.0" encoding="utf-8"?>
<formControlPr xmlns="http://schemas.microsoft.com/office/spreadsheetml/2009/9/main" objectType="Label" lockText="1"/>
</file>

<file path=xl/ctrlProps/ctrlProp23.xml><?xml version="1.0" encoding="utf-8"?>
<formControlPr xmlns="http://schemas.microsoft.com/office/spreadsheetml/2009/9/main" objectType="Label" lockText="1"/>
</file>

<file path=xl/ctrlProps/ctrlProp24.xml><?xml version="1.0" encoding="utf-8"?>
<formControlPr xmlns="http://schemas.microsoft.com/office/spreadsheetml/2009/9/main" objectType="Label" lockText="1"/>
</file>

<file path=xl/ctrlProps/ctrlProp25.xml><?xml version="1.0" encoding="utf-8"?>
<formControlPr xmlns="http://schemas.microsoft.com/office/spreadsheetml/2009/9/main" objectType="Label" lockText="1"/>
</file>

<file path=xl/ctrlProps/ctrlProp26.xml><?xml version="1.0" encoding="utf-8"?>
<formControlPr xmlns="http://schemas.microsoft.com/office/spreadsheetml/2009/9/main" objectType="Label" lockText="1"/>
</file>

<file path=xl/ctrlProps/ctrlProp27.xml><?xml version="1.0" encoding="utf-8"?>
<formControlPr xmlns="http://schemas.microsoft.com/office/spreadsheetml/2009/9/main" objectType="Label" lockText="1"/>
</file>

<file path=xl/ctrlProps/ctrlProp28.xml><?xml version="1.0" encoding="utf-8"?>
<formControlPr xmlns="http://schemas.microsoft.com/office/spreadsheetml/2009/9/main" objectType="Label" lockText="1"/>
</file>

<file path=xl/ctrlProps/ctrlProp29.xml><?xml version="1.0" encoding="utf-8"?>
<formControlPr xmlns="http://schemas.microsoft.com/office/spreadsheetml/2009/9/main" objectType="Label" lockText="1"/>
</file>

<file path=xl/ctrlProps/ctrlProp30.xml><?xml version="1.0" encoding="utf-8"?>
<formControlPr xmlns="http://schemas.microsoft.com/office/spreadsheetml/2009/9/main" objectType="Label" lockText="1"/>
</file>

<file path=xl/ctrlProps/ctrlProp31.xml><?xml version="1.0" encoding="utf-8"?>
<formControlPr xmlns="http://schemas.microsoft.com/office/spreadsheetml/2009/9/main" objectType="Label" lockText="1"/>
</file>

<file path=xl/ctrlProps/ctrlProp32.xml><?xml version="1.0" encoding="utf-8"?>
<formControlPr xmlns="http://schemas.microsoft.com/office/spreadsheetml/2009/9/main" objectType="Label" lockText="1"/>
</file>

<file path=xl/ctrlProps/ctrlProp33.xml><?xml version="1.0" encoding="utf-8"?>
<formControlPr xmlns="http://schemas.microsoft.com/office/spreadsheetml/2009/9/main" objectType="Label" lockText="1"/>
</file>

<file path=xl/ctrlProps/ctrlProp34.xml><?xml version="1.0" encoding="utf-8"?>
<formControlPr xmlns="http://schemas.microsoft.com/office/spreadsheetml/2009/9/main" objectType="Label" lockText="1"/>
</file>

<file path=xl/ctrlProps/ctrlProp35.xml><?xml version="1.0" encoding="utf-8"?>
<formControlPr xmlns="http://schemas.microsoft.com/office/spreadsheetml/2009/9/main" objectType="Label" lockText="1"/>
</file>

<file path=xl/ctrlProps/ctrlProp36.xml><?xml version="1.0" encoding="utf-8"?>
<formControlPr xmlns="http://schemas.microsoft.com/office/spreadsheetml/2009/9/main" objectType="Label" lockText="1"/>
</file>

<file path=xl/ctrlProps/ctrlProp37.xml><?xml version="1.0" encoding="utf-8"?>
<formControlPr xmlns="http://schemas.microsoft.com/office/spreadsheetml/2009/9/main" objectType="Label" lockText="1"/>
</file>

<file path=xl/ctrlProps/ctrlProp38.xml><?xml version="1.0" encoding="utf-8"?>
<formControlPr xmlns="http://schemas.microsoft.com/office/spreadsheetml/2009/9/main" objectType="Label" lockText="1"/>
</file>

<file path=xl/ctrlProps/ctrlProp39.xml><?xml version="1.0" encoding="utf-8"?>
<formControlPr xmlns="http://schemas.microsoft.com/office/spreadsheetml/2009/9/main" objectType="Label" lockText="1"/>
</file>

<file path=xl/ctrlProps/ctrlProp40.xml><?xml version="1.0" encoding="utf-8"?>
<formControlPr xmlns="http://schemas.microsoft.com/office/spreadsheetml/2009/9/main" objectType="Label" lockText="1"/>
</file>

<file path=xl/ctrlProps/ctrlProp41.xml><?xml version="1.0" encoding="utf-8"?>
<formControlPr xmlns="http://schemas.microsoft.com/office/spreadsheetml/2009/9/main" objectType="Label" lockText="1"/>
</file>

<file path=xl/ctrlProps/ctrlProp42.xml><?xml version="1.0" encoding="utf-8"?>
<formControlPr xmlns="http://schemas.microsoft.com/office/spreadsheetml/2009/9/main" objectType="Label" lockText="1"/>
</file>

<file path=xl/ctrlProps/ctrlProp43.xml><?xml version="1.0" encoding="utf-8"?>
<formControlPr xmlns="http://schemas.microsoft.com/office/spreadsheetml/2009/9/main" objectType="Label" lockText="1"/>
</file>

<file path=xl/ctrlProps/ctrlProp44.xml><?xml version="1.0" encoding="utf-8"?>
<formControlPr xmlns="http://schemas.microsoft.com/office/spreadsheetml/2009/9/main" objectType="Label" lockText="1"/>
</file>

<file path=xl/ctrlProps/ctrlProp45.xml><?xml version="1.0" encoding="utf-8"?>
<formControlPr xmlns="http://schemas.microsoft.com/office/spreadsheetml/2009/9/main" objectType="Label" lockText="1"/>
</file>

<file path=xl/ctrlProps/ctrlProp46.xml><?xml version="1.0" encoding="utf-8"?>
<formControlPr xmlns="http://schemas.microsoft.com/office/spreadsheetml/2009/9/main" objectType="Label" lockText="1"/>
</file>

<file path=xl/ctrlProps/ctrlProp47.xml><?xml version="1.0" encoding="utf-8"?>
<formControlPr xmlns="http://schemas.microsoft.com/office/spreadsheetml/2009/9/main" objectType="Label" lockText="1"/>
</file>

<file path=xl/ctrlProps/ctrlProp48.xml><?xml version="1.0" encoding="utf-8"?>
<formControlPr xmlns="http://schemas.microsoft.com/office/spreadsheetml/2009/9/main" objectType="Label" lockText="1"/>
</file>

<file path=xl/ctrlProps/ctrlProp49.xml><?xml version="1.0" encoding="utf-8"?>
<formControlPr xmlns="http://schemas.microsoft.com/office/spreadsheetml/2009/9/main" objectType="Label" lockText="1"/>
</file>

<file path=xl/ctrlProps/ctrlProp50.xml><?xml version="1.0" encoding="utf-8"?>
<formControlPr xmlns="http://schemas.microsoft.com/office/spreadsheetml/2009/9/main" objectType="Label" lockText="1"/>
</file>

<file path=xl/ctrlProps/ctrlProp51.xml><?xml version="1.0" encoding="utf-8"?>
<formControlPr xmlns="http://schemas.microsoft.com/office/spreadsheetml/2009/9/main" objectType="Label" lockText="1"/>
</file>

<file path=xl/ctrlProps/ctrlProp52.xml><?xml version="1.0" encoding="utf-8"?>
<formControlPr xmlns="http://schemas.microsoft.com/office/spreadsheetml/2009/9/main" objectType="Label" lockText="1"/>
</file>

<file path=xl/ctrlProps/ctrlProp53.xml><?xml version="1.0" encoding="utf-8"?>
<formControlPr xmlns="http://schemas.microsoft.com/office/spreadsheetml/2009/9/main" objectType="Label" lockText="1"/>
</file>

<file path=xl/ctrlProps/ctrlProp54.xml><?xml version="1.0" encoding="utf-8"?>
<formControlPr xmlns="http://schemas.microsoft.com/office/spreadsheetml/2009/9/main" objectType="Label" lockText="1"/>
</file>

<file path=xl/ctrlProps/ctrlProp55.xml><?xml version="1.0" encoding="utf-8"?>
<formControlPr xmlns="http://schemas.microsoft.com/office/spreadsheetml/2009/9/main" objectType="Label" lockText="1"/>
</file>

<file path=xl/ctrlProps/ctrlProp56.xml><?xml version="1.0" encoding="utf-8"?>
<formControlPr xmlns="http://schemas.microsoft.com/office/spreadsheetml/2009/9/main" objectType="Label" lockText="1"/>
</file>

<file path=xl/ctrlProps/ctrlProp57.xml><?xml version="1.0" encoding="utf-8"?>
<formControlPr xmlns="http://schemas.microsoft.com/office/spreadsheetml/2009/9/main" objectType="Label" lockText="1"/>
</file>

<file path=xl/ctrlProps/ctrlProp58.xml><?xml version="1.0" encoding="utf-8"?>
<formControlPr xmlns="http://schemas.microsoft.com/office/spreadsheetml/2009/9/main" objectType="Label" lockText="1"/>
</file>

<file path=xl/ctrlProps/ctrlProp59.xml><?xml version="1.0" encoding="utf-8"?>
<formControlPr xmlns="http://schemas.microsoft.com/office/spreadsheetml/2009/9/main" objectType="Label" lockText="1"/>
</file>

<file path=xl/ctrlProps/ctrlProp60.xml><?xml version="1.0" encoding="utf-8"?>
<formControlPr xmlns="http://schemas.microsoft.com/office/spreadsheetml/2009/9/main" objectType="Label" lockText="1"/>
</file>

<file path=xl/ctrlProps/ctrlProp61.xml><?xml version="1.0" encoding="utf-8"?>
<formControlPr xmlns="http://schemas.microsoft.com/office/spreadsheetml/2009/9/main" objectType="Label" lockText="1"/>
</file>

<file path=xl/ctrlProps/ctrlProp62.xml><?xml version="1.0" encoding="utf-8"?>
<formControlPr xmlns="http://schemas.microsoft.com/office/spreadsheetml/2009/9/main" objectType="Label" lockText="1"/>
</file>

<file path=xl/ctrlProps/ctrlProp63.xml><?xml version="1.0" encoding="utf-8"?>
<formControlPr xmlns="http://schemas.microsoft.com/office/spreadsheetml/2009/9/main" objectType="Label" lockText="1"/>
</file>

<file path=xl/ctrlProps/ctrlProp64.xml><?xml version="1.0" encoding="utf-8"?>
<formControlPr xmlns="http://schemas.microsoft.com/office/spreadsheetml/2009/9/main" objectType="Label" lockText="1"/>
</file>

<file path=xl/ctrlProps/ctrlProp65.xml><?xml version="1.0" encoding="utf-8"?>
<formControlPr xmlns="http://schemas.microsoft.com/office/spreadsheetml/2009/9/main" objectType="Label" lockText="1"/>
</file>

<file path=xl/ctrlProps/ctrlProp66.xml><?xml version="1.0" encoding="utf-8"?>
<formControlPr xmlns="http://schemas.microsoft.com/office/spreadsheetml/2009/9/main" objectType="Label" lockText="1"/>
</file>

<file path=xl/ctrlProps/ctrlProp67.xml><?xml version="1.0" encoding="utf-8"?>
<formControlPr xmlns="http://schemas.microsoft.com/office/spreadsheetml/2009/9/main" objectType="Label" lockText="1"/>
</file>

<file path=xl/ctrlProps/ctrlProp68.xml><?xml version="1.0" encoding="utf-8"?>
<formControlPr xmlns="http://schemas.microsoft.com/office/spreadsheetml/2009/9/main" objectType="Label" lockText="1"/>
</file>

<file path=xl/ctrlProps/ctrlProp69.xml><?xml version="1.0" encoding="utf-8"?>
<formControlPr xmlns="http://schemas.microsoft.com/office/spreadsheetml/2009/9/main" objectType="Label" lockText="1"/>
</file>

<file path=xl/ctrlProps/ctrlProp70.xml><?xml version="1.0" encoding="utf-8"?>
<formControlPr xmlns="http://schemas.microsoft.com/office/spreadsheetml/2009/9/main" objectType="Label" lockText="1"/>
</file>

<file path=xl/ctrlProps/ctrlProp71.xml><?xml version="1.0" encoding="utf-8"?>
<formControlPr xmlns="http://schemas.microsoft.com/office/spreadsheetml/2009/9/main" objectType="Label" lockText="1"/>
</file>

<file path=xl/ctrlProps/ctrlProp72.xml><?xml version="1.0" encoding="utf-8"?>
<formControlPr xmlns="http://schemas.microsoft.com/office/spreadsheetml/2009/9/main" objectType="Label" lockText="1"/>
</file>

<file path=xl/ctrlProps/ctrlProp73.xml><?xml version="1.0" encoding="utf-8"?>
<formControlPr xmlns="http://schemas.microsoft.com/office/spreadsheetml/2009/9/main" objectType="Label" lockText="1"/>
</file>

<file path=xl/ctrlProps/ctrlProp74.xml><?xml version="1.0" encoding="utf-8"?>
<formControlPr xmlns="http://schemas.microsoft.com/office/spreadsheetml/2009/9/main" objectType="Label"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26</xdr:col>
          <xdr:colOff>71967</xdr:colOff>
          <xdr:row>1</xdr:row>
          <xdr:rowOff>152400</xdr:rowOff>
        </xdr:from>
        <xdr:to>
          <xdr:col>26</xdr:col>
          <xdr:colOff>605367</xdr:colOff>
          <xdr:row>2</xdr:row>
          <xdr:rowOff>148167</xdr:rowOff>
        </xdr:to>
        <xdr:sp macro="" textlink="">
          <xdr:nvSpPr>
            <xdr:cNvPr id="280578" name="Label 2" hidden="1">
              <a:extLst>
                <a:ext uri="{63B3BB69-23CF-44E3-9099-C40C66FF867C}">
                  <a14:compatExt spid="_x0000_s280578"/>
                </a:ext>
                <a:ext uri="{FF2B5EF4-FFF2-40B4-BE49-F238E27FC236}">
                  <a16:creationId xmlns:a16="http://schemas.microsoft.com/office/drawing/2014/main" id="{00000000-0008-0000-1900-00000248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2</xdr:row>
          <xdr:rowOff>12700</xdr:rowOff>
        </xdr:from>
        <xdr:to>
          <xdr:col>26</xdr:col>
          <xdr:colOff>592667</xdr:colOff>
          <xdr:row>3</xdr:row>
          <xdr:rowOff>8467</xdr:rowOff>
        </xdr:to>
        <xdr:sp macro="" textlink="">
          <xdr:nvSpPr>
            <xdr:cNvPr id="280920" name="Label 344" hidden="1">
              <a:extLst>
                <a:ext uri="{63B3BB69-23CF-44E3-9099-C40C66FF867C}">
                  <a14:compatExt spid="_x0000_s280920"/>
                </a:ext>
                <a:ext uri="{FF2B5EF4-FFF2-40B4-BE49-F238E27FC236}">
                  <a16:creationId xmlns:a16="http://schemas.microsoft.com/office/drawing/2014/main" id="{00000000-0008-0000-1900-000058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3</xdr:row>
          <xdr:rowOff>12700</xdr:rowOff>
        </xdr:from>
        <xdr:to>
          <xdr:col>26</xdr:col>
          <xdr:colOff>592667</xdr:colOff>
          <xdr:row>4</xdr:row>
          <xdr:rowOff>8467</xdr:rowOff>
        </xdr:to>
        <xdr:sp macro="" textlink="">
          <xdr:nvSpPr>
            <xdr:cNvPr id="280921" name="Label 345" hidden="1">
              <a:extLst>
                <a:ext uri="{63B3BB69-23CF-44E3-9099-C40C66FF867C}">
                  <a14:compatExt spid="_x0000_s280921"/>
                </a:ext>
                <a:ext uri="{FF2B5EF4-FFF2-40B4-BE49-F238E27FC236}">
                  <a16:creationId xmlns:a16="http://schemas.microsoft.com/office/drawing/2014/main" id="{00000000-0008-0000-1900-000059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4</xdr:row>
          <xdr:rowOff>12700</xdr:rowOff>
        </xdr:from>
        <xdr:to>
          <xdr:col>26</xdr:col>
          <xdr:colOff>592667</xdr:colOff>
          <xdr:row>5</xdr:row>
          <xdr:rowOff>8467</xdr:rowOff>
        </xdr:to>
        <xdr:sp macro="" textlink="">
          <xdr:nvSpPr>
            <xdr:cNvPr id="280922" name="Label 346" hidden="1">
              <a:extLst>
                <a:ext uri="{63B3BB69-23CF-44E3-9099-C40C66FF867C}">
                  <a14:compatExt spid="_x0000_s280922"/>
                </a:ext>
                <a:ext uri="{FF2B5EF4-FFF2-40B4-BE49-F238E27FC236}">
                  <a16:creationId xmlns:a16="http://schemas.microsoft.com/office/drawing/2014/main" id="{00000000-0008-0000-1900-00005A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5</xdr:row>
          <xdr:rowOff>12700</xdr:rowOff>
        </xdr:from>
        <xdr:to>
          <xdr:col>26</xdr:col>
          <xdr:colOff>592667</xdr:colOff>
          <xdr:row>6</xdr:row>
          <xdr:rowOff>8467</xdr:rowOff>
        </xdr:to>
        <xdr:sp macro="" textlink="">
          <xdr:nvSpPr>
            <xdr:cNvPr id="280923" name="Label 347" hidden="1">
              <a:extLst>
                <a:ext uri="{63B3BB69-23CF-44E3-9099-C40C66FF867C}">
                  <a14:compatExt spid="_x0000_s280923"/>
                </a:ext>
                <a:ext uri="{FF2B5EF4-FFF2-40B4-BE49-F238E27FC236}">
                  <a16:creationId xmlns:a16="http://schemas.microsoft.com/office/drawing/2014/main" id="{00000000-0008-0000-1900-00005B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xdr:row>
          <xdr:rowOff>12700</xdr:rowOff>
        </xdr:from>
        <xdr:to>
          <xdr:col>26</xdr:col>
          <xdr:colOff>592667</xdr:colOff>
          <xdr:row>7</xdr:row>
          <xdr:rowOff>8467</xdr:rowOff>
        </xdr:to>
        <xdr:sp macro="" textlink="">
          <xdr:nvSpPr>
            <xdr:cNvPr id="280924" name="Label 348" hidden="1">
              <a:extLst>
                <a:ext uri="{63B3BB69-23CF-44E3-9099-C40C66FF867C}">
                  <a14:compatExt spid="_x0000_s280924"/>
                </a:ext>
                <a:ext uri="{FF2B5EF4-FFF2-40B4-BE49-F238E27FC236}">
                  <a16:creationId xmlns:a16="http://schemas.microsoft.com/office/drawing/2014/main" id="{00000000-0008-0000-1900-00005C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7</xdr:row>
          <xdr:rowOff>12700</xdr:rowOff>
        </xdr:from>
        <xdr:to>
          <xdr:col>26</xdr:col>
          <xdr:colOff>592667</xdr:colOff>
          <xdr:row>8</xdr:row>
          <xdr:rowOff>8467</xdr:rowOff>
        </xdr:to>
        <xdr:sp macro="" textlink="">
          <xdr:nvSpPr>
            <xdr:cNvPr id="280925" name="Label 349" hidden="1">
              <a:extLst>
                <a:ext uri="{63B3BB69-23CF-44E3-9099-C40C66FF867C}">
                  <a14:compatExt spid="_x0000_s280925"/>
                </a:ext>
                <a:ext uri="{FF2B5EF4-FFF2-40B4-BE49-F238E27FC236}">
                  <a16:creationId xmlns:a16="http://schemas.microsoft.com/office/drawing/2014/main" id="{00000000-0008-0000-1900-00005D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8</xdr:row>
          <xdr:rowOff>12700</xdr:rowOff>
        </xdr:from>
        <xdr:to>
          <xdr:col>26</xdr:col>
          <xdr:colOff>592667</xdr:colOff>
          <xdr:row>9</xdr:row>
          <xdr:rowOff>8467</xdr:rowOff>
        </xdr:to>
        <xdr:sp macro="" textlink="">
          <xdr:nvSpPr>
            <xdr:cNvPr id="280926" name="Label 350" hidden="1">
              <a:extLst>
                <a:ext uri="{63B3BB69-23CF-44E3-9099-C40C66FF867C}">
                  <a14:compatExt spid="_x0000_s280926"/>
                </a:ext>
                <a:ext uri="{FF2B5EF4-FFF2-40B4-BE49-F238E27FC236}">
                  <a16:creationId xmlns:a16="http://schemas.microsoft.com/office/drawing/2014/main" id="{00000000-0008-0000-1900-00005E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9</xdr:row>
          <xdr:rowOff>12700</xdr:rowOff>
        </xdr:from>
        <xdr:to>
          <xdr:col>26</xdr:col>
          <xdr:colOff>592667</xdr:colOff>
          <xdr:row>10</xdr:row>
          <xdr:rowOff>8467</xdr:rowOff>
        </xdr:to>
        <xdr:sp macro="" textlink="">
          <xdr:nvSpPr>
            <xdr:cNvPr id="280927" name="Label 351" hidden="1">
              <a:extLst>
                <a:ext uri="{63B3BB69-23CF-44E3-9099-C40C66FF867C}">
                  <a14:compatExt spid="_x0000_s280927"/>
                </a:ext>
                <a:ext uri="{FF2B5EF4-FFF2-40B4-BE49-F238E27FC236}">
                  <a16:creationId xmlns:a16="http://schemas.microsoft.com/office/drawing/2014/main" id="{00000000-0008-0000-1900-00005F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10</xdr:row>
          <xdr:rowOff>12700</xdr:rowOff>
        </xdr:from>
        <xdr:to>
          <xdr:col>26</xdr:col>
          <xdr:colOff>592667</xdr:colOff>
          <xdr:row>11</xdr:row>
          <xdr:rowOff>8467</xdr:rowOff>
        </xdr:to>
        <xdr:sp macro="" textlink="">
          <xdr:nvSpPr>
            <xdr:cNvPr id="280928" name="Label 352" hidden="1">
              <a:extLst>
                <a:ext uri="{63B3BB69-23CF-44E3-9099-C40C66FF867C}">
                  <a14:compatExt spid="_x0000_s280928"/>
                </a:ext>
                <a:ext uri="{FF2B5EF4-FFF2-40B4-BE49-F238E27FC236}">
                  <a16:creationId xmlns:a16="http://schemas.microsoft.com/office/drawing/2014/main" id="{00000000-0008-0000-1900-000060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11</xdr:row>
          <xdr:rowOff>12700</xdr:rowOff>
        </xdr:from>
        <xdr:to>
          <xdr:col>26</xdr:col>
          <xdr:colOff>592667</xdr:colOff>
          <xdr:row>12</xdr:row>
          <xdr:rowOff>8467</xdr:rowOff>
        </xdr:to>
        <xdr:sp macro="" textlink="">
          <xdr:nvSpPr>
            <xdr:cNvPr id="280929" name="Label 353" hidden="1">
              <a:extLst>
                <a:ext uri="{63B3BB69-23CF-44E3-9099-C40C66FF867C}">
                  <a14:compatExt spid="_x0000_s280929"/>
                </a:ext>
                <a:ext uri="{FF2B5EF4-FFF2-40B4-BE49-F238E27FC236}">
                  <a16:creationId xmlns:a16="http://schemas.microsoft.com/office/drawing/2014/main" id="{00000000-0008-0000-1900-000061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12</xdr:row>
          <xdr:rowOff>12700</xdr:rowOff>
        </xdr:from>
        <xdr:to>
          <xdr:col>26</xdr:col>
          <xdr:colOff>592667</xdr:colOff>
          <xdr:row>13</xdr:row>
          <xdr:rowOff>8467</xdr:rowOff>
        </xdr:to>
        <xdr:sp macro="" textlink="">
          <xdr:nvSpPr>
            <xdr:cNvPr id="280930" name="Label 354" hidden="1">
              <a:extLst>
                <a:ext uri="{63B3BB69-23CF-44E3-9099-C40C66FF867C}">
                  <a14:compatExt spid="_x0000_s280930"/>
                </a:ext>
                <a:ext uri="{FF2B5EF4-FFF2-40B4-BE49-F238E27FC236}">
                  <a16:creationId xmlns:a16="http://schemas.microsoft.com/office/drawing/2014/main" id="{00000000-0008-0000-1900-000062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13</xdr:row>
          <xdr:rowOff>12700</xdr:rowOff>
        </xdr:from>
        <xdr:to>
          <xdr:col>26</xdr:col>
          <xdr:colOff>592667</xdr:colOff>
          <xdr:row>14</xdr:row>
          <xdr:rowOff>8467</xdr:rowOff>
        </xdr:to>
        <xdr:sp macro="" textlink="">
          <xdr:nvSpPr>
            <xdr:cNvPr id="280931" name="Label 355" hidden="1">
              <a:extLst>
                <a:ext uri="{63B3BB69-23CF-44E3-9099-C40C66FF867C}">
                  <a14:compatExt spid="_x0000_s280931"/>
                </a:ext>
                <a:ext uri="{FF2B5EF4-FFF2-40B4-BE49-F238E27FC236}">
                  <a16:creationId xmlns:a16="http://schemas.microsoft.com/office/drawing/2014/main" id="{00000000-0008-0000-1900-000063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14</xdr:row>
          <xdr:rowOff>12700</xdr:rowOff>
        </xdr:from>
        <xdr:to>
          <xdr:col>26</xdr:col>
          <xdr:colOff>592667</xdr:colOff>
          <xdr:row>15</xdr:row>
          <xdr:rowOff>8467</xdr:rowOff>
        </xdr:to>
        <xdr:sp macro="" textlink="">
          <xdr:nvSpPr>
            <xdr:cNvPr id="280932" name="Label 356" hidden="1">
              <a:extLst>
                <a:ext uri="{63B3BB69-23CF-44E3-9099-C40C66FF867C}">
                  <a14:compatExt spid="_x0000_s280932"/>
                </a:ext>
                <a:ext uri="{FF2B5EF4-FFF2-40B4-BE49-F238E27FC236}">
                  <a16:creationId xmlns:a16="http://schemas.microsoft.com/office/drawing/2014/main" id="{00000000-0008-0000-1900-000064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15</xdr:row>
          <xdr:rowOff>12700</xdr:rowOff>
        </xdr:from>
        <xdr:to>
          <xdr:col>26</xdr:col>
          <xdr:colOff>592667</xdr:colOff>
          <xdr:row>16</xdr:row>
          <xdr:rowOff>8467</xdr:rowOff>
        </xdr:to>
        <xdr:sp macro="" textlink="">
          <xdr:nvSpPr>
            <xdr:cNvPr id="280933" name="Label 357" hidden="1">
              <a:extLst>
                <a:ext uri="{63B3BB69-23CF-44E3-9099-C40C66FF867C}">
                  <a14:compatExt spid="_x0000_s280933"/>
                </a:ext>
                <a:ext uri="{FF2B5EF4-FFF2-40B4-BE49-F238E27FC236}">
                  <a16:creationId xmlns:a16="http://schemas.microsoft.com/office/drawing/2014/main" id="{00000000-0008-0000-1900-000065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16</xdr:row>
          <xdr:rowOff>12700</xdr:rowOff>
        </xdr:from>
        <xdr:to>
          <xdr:col>26</xdr:col>
          <xdr:colOff>592667</xdr:colOff>
          <xdr:row>17</xdr:row>
          <xdr:rowOff>0</xdr:rowOff>
        </xdr:to>
        <xdr:sp macro="" textlink="">
          <xdr:nvSpPr>
            <xdr:cNvPr id="280934" name="Label 358" hidden="1">
              <a:extLst>
                <a:ext uri="{63B3BB69-23CF-44E3-9099-C40C66FF867C}">
                  <a14:compatExt spid="_x0000_s280934"/>
                </a:ext>
                <a:ext uri="{FF2B5EF4-FFF2-40B4-BE49-F238E27FC236}">
                  <a16:creationId xmlns:a16="http://schemas.microsoft.com/office/drawing/2014/main" id="{00000000-0008-0000-1900-000066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17</xdr:row>
          <xdr:rowOff>0</xdr:rowOff>
        </xdr:from>
        <xdr:to>
          <xdr:col>26</xdr:col>
          <xdr:colOff>592667</xdr:colOff>
          <xdr:row>17</xdr:row>
          <xdr:rowOff>8467</xdr:rowOff>
        </xdr:to>
        <xdr:sp macro="" textlink="">
          <xdr:nvSpPr>
            <xdr:cNvPr id="280935" name="Label 359" hidden="1">
              <a:extLst>
                <a:ext uri="{63B3BB69-23CF-44E3-9099-C40C66FF867C}">
                  <a14:compatExt spid="_x0000_s280935"/>
                </a:ext>
                <a:ext uri="{FF2B5EF4-FFF2-40B4-BE49-F238E27FC236}">
                  <a16:creationId xmlns:a16="http://schemas.microsoft.com/office/drawing/2014/main" id="{00000000-0008-0000-1900-000067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17</xdr:row>
          <xdr:rowOff>12700</xdr:rowOff>
        </xdr:from>
        <xdr:to>
          <xdr:col>26</xdr:col>
          <xdr:colOff>592667</xdr:colOff>
          <xdr:row>18</xdr:row>
          <xdr:rowOff>8467</xdr:rowOff>
        </xdr:to>
        <xdr:sp macro="" textlink="">
          <xdr:nvSpPr>
            <xdr:cNvPr id="280936" name="Label 360" hidden="1">
              <a:extLst>
                <a:ext uri="{63B3BB69-23CF-44E3-9099-C40C66FF867C}">
                  <a14:compatExt spid="_x0000_s280936"/>
                </a:ext>
                <a:ext uri="{FF2B5EF4-FFF2-40B4-BE49-F238E27FC236}">
                  <a16:creationId xmlns:a16="http://schemas.microsoft.com/office/drawing/2014/main" id="{00000000-0008-0000-1900-000068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25400</xdr:colOff>
          <xdr:row>18</xdr:row>
          <xdr:rowOff>12700</xdr:rowOff>
        </xdr:from>
        <xdr:to>
          <xdr:col>26</xdr:col>
          <xdr:colOff>558800</xdr:colOff>
          <xdr:row>19</xdr:row>
          <xdr:rowOff>8467</xdr:rowOff>
        </xdr:to>
        <xdr:sp macro="" textlink="">
          <xdr:nvSpPr>
            <xdr:cNvPr id="280937" name="Label 361" hidden="1">
              <a:extLst>
                <a:ext uri="{63B3BB69-23CF-44E3-9099-C40C66FF867C}">
                  <a14:compatExt spid="_x0000_s280937"/>
                </a:ext>
                <a:ext uri="{FF2B5EF4-FFF2-40B4-BE49-F238E27FC236}">
                  <a16:creationId xmlns:a16="http://schemas.microsoft.com/office/drawing/2014/main" id="{00000000-0008-0000-1900-000069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19</xdr:row>
          <xdr:rowOff>12700</xdr:rowOff>
        </xdr:from>
        <xdr:to>
          <xdr:col>26</xdr:col>
          <xdr:colOff>592667</xdr:colOff>
          <xdr:row>20</xdr:row>
          <xdr:rowOff>8467</xdr:rowOff>
        </xdr:to>
        <xdr:sp macro="" textlink="">
          <xdr:nvSpPr>
            <xdr:cNvPr id="280938" name="Label 362" hidden="1">
              <a:extLst>
                <a:ext uri="{63B3BB69-23CF-44E3-9099-C40C66FF867C}">
                  <a14:compatExt spid="_x0000_s280938"/>
                </a:ext>
                <a:ext uri="{FF2B5EF4-FFF2-40B4-BE49-F238E27FC236}">
                  <a16:creationId xmlns:a16="http://schemas.microsoft.com/office/drawing/2014/main" id="{00000000-0008-0000-1900-00006A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20</xdr:row>
          <xdr:rowOff>12700</xdr:rowOff>
        </xdr:from>
        <xdr:to>
          <xdr:col>26</xdr:col>
          <xdr:colOff>592667</xdr:colOff>
          <xdr:row>21</xdr:row>
          <xdr:rowOff>8467</xdr:rowOff>
        </xdr:to>
        <xdr:sp macro="" textlink="">
          <xdr:nvSpPr>
            <xdr:cNvPr id="280939" name="Label 363" hidden="1">
              <a:extLst>
                <a:ext uri="{63B3BB69-23CF-44E3-9099-C40C66FF867C}">
                  <a14:compatExt spid="_x0000_s280939"/>
                </a:ext>
                <a:ext uri="{FF2B5EF4-FFF2-40B4-BE49-F238E27FC236}">
                  <a16:creationId xmlns:a16="http://schemas.microsoft.com/office/drawing/2014/main" id="{00000000-0008-0000-1900-00006B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21</xdr:row>
          <xdr:rowOff>12700</xdr:rowOff>
        </xdr:from>
        <xdr:to>
          <xdr:col>26</xdr:col>
          <xdr:colOff>592667</xdr:colOff>
          <xdr:row>22</xdr:row>
          <xdr:rowOff>8467</xdr:rowOff>
        </xdr:to>
        <xdr:sp macro="" textlink="">
          <xdr:nvSpPr>
            <xdr:cNvPr id="280940" name="Label 364" hidden="1">
              <a:extLst>
                <a:ext uri="{63B3BB69-23CF-44E3-9099-C40C66FF867C}">
                  <a14:compatExt spid="_x0000_s280940"/>
                </a:ext>
                <a:ext uri="{FF2B5EF4-FFF2-40B4-BE49-F238E27FC236}">
                  <a16:creationId xmlns:a16="http://schemas.microsoft.com/office/drawing/2014/main" id="{00000000-0008-0000-1900-00006C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22</xdr:row>
          <xdr:rowOff>12700</xdr:rowOff>
        </xdr:from>
        <xdr:to>
          <xdr:col>26</xdr:col>
          <xdr:colOff>592667</xdr:colOff>
          <xdr:row>23</xdr:row>
          <xdr:rowOff>8467</xdr:rowOff>
        </xdr:to>
        <xdr:sp macro="" textlink="">
          <xdr:nvSpPr>
            <xdr:cNvPr id="280941" name="Label 365" hidden="1">
              <a:extLst>
                <a:ext uri="{63B3BB69-23CF-44E3-9099-C40C66FF867C}">
                  <a14:compatExt spid="_x0000_s280941"/>
                </a:ext>
                <a:ext uri="{FF2B5EF4-FFF2-40B4-BE49-F238E27FC236}">
                  <a16:creationId xmlns:a16="http://schemas.microsoft.com/office/drawing/2014/main" id="{00000000-0008-0000-1900-00006D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23</xdr:row>
          <xdr:rowOff>12700</xdr:rowOff>
        </xdr:from>
        <xdr:to>
          <xdr:col>26</xdr:col>
          <xdr:colOff>592667</xdr:colOff>
          <xdr:row>24</xdr:row>
          <xdr:rowOff>8467</xdr:rowOff>
        </xdr:to>
        <xdr:sp macro="" textlink="">
          <xdr:nvSpPr>
            <xdr:cNvPr id="280942" name="Label 366" hidden="1">
              <a:extLst>
                <a:ext uri="{63B3BB69-23CF-44E3-9099-C40C66FF867C}">
                  <a14:compatExt spid="_x0000_s280942"/>
                </a:ext>
                <a:ext uri="{FF2B5EF4-FFF2-40B4-BE49-F238E27FC236}">
                  <a16:creationId xmlns:a16="http://schemas.microsoft.com/office/drawing/2014/main" id="{00000000-0008-0000-1900-00006E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24</xdr:row>
          <xdr:rowOff>12700</xdr:rowOff>
        </xdr:from>
        <xdr:to>
          <xdr:col>26</xdr:col>
          <xdr:colOff>592667</xdr:colOff>
          <xdr:row>25</xdr:row>
          <xdr:rowOff>8467</xdr:rowOff>
        </xdr:to>
        <xdr:sp macro="" textlink="">
          <xdr:nvSpPr>
            <xdr:cNvPr id="280943" name="Label 367" hidden="1">
              <a:extLst>
                <a:ext uri="{63B3BB69-23CF-44E3-9099-C40C66FF867C}">
                  <a14:compatExt spid="_x0000_s280943"/>
                </a:ext>
                <a:ext uri="{FF2B5EF4-FFF2-40B4-BE49-F238E27FC236}">
                  <a16:creationId xmlns:a16="http://schemas.microsoft.com/office/drawing/2014/main" id="{00000000-0008-0000-1900-00006F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25</xdr:row>
          <xdr:rowOff>12700</xdr:rowOff>
        </xdr:from>
        <xdr:to>
          <xdr:col>26</xdr:col>
          <xdr:colOff>592667</xdr:colOff>
          <xdr:row>26</xdr:row>
          <xdr:rowOff>8467</xdr:rowOff>
        </xdr:to>
        <xdr:sp macro="" textlink="">
          <xdr:nvSpPr>
            <xdr:cNvPr id="280944" name="Label 368" hidden="1">
              <a:extLst>
                <a:ext uri="{63B3BB69-23CF-44E3-9099-C40C66FF867C}">
                  <a14:compatExt spid="_x0000_s280944"/>
                </a:ext>
                <a:ext uri="{FF2B5EF4-FFF2-40B4-BE49-F238E27FC236}">
                  <a16:creationId xmlns:a16="http://schemas.microsoft.com/office/drawing/2014/main" id="{00000000-0008-0000-1900-000070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26</xdr:row>
          <xdr:rowOff>12700</xdr:rowOff>
        </xdr:from>
        <xdr:to>
          <xdr:col>26</xdr:col>
          <xdr:colOff>592667</xdr:colOff>
          <xdr:row>27</xdr:row>
          <xdr:rowOff>8467</xdr:rowOff>
        </xdr:to>
        <xdr:sp macro="" textlink="">
          <xdr:nvSpPr>
            <xdr:cNvPr id="280945" name="Label 369" hidden="1">
              <a:extLst>
                <a:ext uri="{63B3BB69-23CF-44E3-9099-C40C66FF867C}">
                  <a14:compatExt spid="_x0000_s280945"/>
                </a:ext>
                <a:ext uri="{FF2B5EF4-FFF2-40B4-BE49-F238E27FC236}">
                  <a16:creationId xmlns:a16="http://schemas.microsoft.com/office/drawing/2014/main" id="{00000000-0008-0000-1900-000071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27</xdr:row>
          <xdr:rowOff>12700</xdr:rowOff>
        </xdr:from>
        <xdr:to>
          <xdr:col>26</xdr:col>
          <xdr:colOff>592667</xdr:colOff>
          <xdr:row>28</xdr:row>
          <xdr:rowOff>8467</xdr:rowOff>
        </xdr:to>
        <xdr:sp macro="" textlink="">
          <xdr:nvSpPr>
            <xdr:cNvPr id="280946" name="Label 370" hidden="1">
              <a:extLst>
                <a:ext uri="{63B3BB69-23CF-44E3-9099-C40C66FF867C}">
                  <a14:compatExt spid="_x0000_s280946"/>
                </a:ext>
                <a:ext uri="{FF2B5EF4-FFF2-40B4-BE49-F238E27FC236}">
                  <a16:creationId xmlns:a16="http://schemas.microsoft.com/office/drawing/2014/main" id="{00000000-0008-0000-1900-000072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28</xdr:row>
          <xdr:rowOff>12700</xdr:rowOff>
        </xdr:from>
        <xdr:to>
          <xdr:col>26</xdr:col>
          <xdr:colOff>592667</xdr:colOff>
          <xdr:row>29</xdr:row>
          <xdr:rowOff>8467</xdr:rowOff>
        </xdr:to>
        <xdr:sp macro="" textlink="">
          <xdr:nvSpPr>
            <xdr:cNvPr id="280947" name="Label 371" hidden="1">
              <a:extLst>
                <a:ext uri="{63B3BB69-23CF-44E3-9099-C40C66FF867C}">
                  <a14:compatExt spid="_x0000_s280947"/>
                </a:ext>
                <a:ext uri="{FF2B5EF4-FFF2-40B4-BE49-F238E27FC236}">
                  <a16:creationId xmlns:a16="http://schemas.microsoft.com/office/drawing/2014/main" id="{00000000-0008-0000-1900-000073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29</xdr:row>
          <xdr:rowOff>12700</xdr:rowOff>
        </xdr:from>
        <xdr:to>
          <xdr:col>26</xdr:col>
          <xdr:colOff>592667</xdr:colOff>
          <xdr:row>30</xdr:row>
          <xdr:rowOff>8467</xdr:rowOff>
        </xdr:to>
        <xdr:sp macro="" textlink="">
          <xdr:nvSpPr>
            <xdr:cNvPr id="280948" name="Label 372" hidden="1">
              <a:extLst>
                <a:ext uri="{63B3BB69-23CF-44E3-9099-C40C66FF867C}">
                  <a14:compatExt spid="_x0000_s280948"/>
                </a:ext>
                <a:ext uri="{FF2B5EF4-FFF2-40B4-BE49-F238E27FC236}">
                  <a16:creationId xmlns:a16="http://schemas.microsoft.com/office/drawing/2014/main" id="{00000000-0008-0000-1900-000074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30</xdr:row>
          <xdr:rowOff>12700</xdr:rowOff>
        </xdr:from>
        <xdr:to>
          <xdr:col>26</xdr:col>
          <xdr:colOff>592667</xdr:colOff>
          <xdr:row>31</xdr:row>
          <xdr:rowOff>8467</xdr:rowOff>
        </xdr:to>
        <xdr:sp macro="" textlink="">
          <xdr:nvSpPr>
            <xdr:cNvPr id="280949" name="Label 373" hidden="1">
              <a:extLst>
                <a:ext uri="{63B3BB69-23CF-44E3-9099-C40C66FF867C}">
                  <a14:compatExt spid="_x0000_s280949"/>
                </a:ext>
                <a:ext uri="{FF2B5EF4-FFF2-40B4-BE49-F238E27FC236}">
                  <a16:creationId xmlns:a16="http://schemas.microsoft.com/office/drawing/2014/main" id="{00000000-0008-0000-1900-000075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31</xdr:row>
          <xdr:rowOff>12700</xdr:rowOff>
        </xdr:from>
        <xdr:to>
          <xdr:col>26</xdr:col>
          <xdr:colOff>592667</xdr:colOff>
          <xdr:row>32</xdr:row>
          <xdr:rowOff>8467</xdr:rowOff>
        </xdr:to>
        <xdr:sp macro="" textlink="">
          <xdr:nvSpPr>
            <xdr:cNvPr id="280950" name="Label 374" hidden="1">
              <a:extLst>
                <a:ext uri="{63B3BB69-23CF-44E3-9099-C40C66FF867C}">
                  <a14:compatExt spid="_x0000_s280950"/>
                </a:ext>
                <a:ext uri="{FF2B5EF4-FFF2-40B4-BE49-F238E27FC236}">
                  <a16:creationId xmlns:a16="http://schemas.microsoft.com/office/drawing/2014/main" id="{00000000-0008-0000-1900-000076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32</xdr:row>
          <xdr:rowOff>12700</xdr:rowOff>
        </xdr:from>
        <xdr:to>
          <xdr:col>26</xdr:col>
          <xdr:colOff>592667</xdr:colOff>
          <xdr:row>33</xdr:row>
          <xdr:rowOff>8467</xdr:rowOff>
        </xdr:to>
        <xdr:sp macro="" textlink="">
          <xdr:nvSpPr>
            <xdr:cNvPr id="280951" name="Label 375" hidden="1">
              <a:extLst>
                <a:ext uri="{63B3BB69-23CF-44E3-9099-C40C66FF867C}">
                  <a14:compatExt spid="_x0000_s280951"/>
                </a:ext>
                <a:ext uri="{FF2B5EF4-FFF2-40B4-BE49-F238E27FC236}">
                  <a16:creationId xmlns:a16="http://schemas.microsoft.com/office/drawing/2014/main" id="{00000000-0008-0000-1900-000077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33</xdr:row>
          <xdr:rowOff>12700</xdr:rowOff>
        </xdr:from>
        <xdr:to>
          <xdr:col>26</xdr:col>
          <xdr:colOff>592667</xdr:colOff>
          <xdr:row>34</xdr:row>
          <xdr:rowOff>8467</xdr:rowOff>
        </xdr:to>
        <xdr:sp macro="" textlink="">
          <xdr:nvSpPr>
            <xdr:cNvPr id="280952" name="Label 376" hidden="1">
              <a:extLst>
                <a:ext uri="{63B3BB69-23CF-44E3-9099-C40C66FF867C}">
                  <a14:compatExt spid="_x0000_s280952"/>
                </a:ext>
                <a:ext uri="{FF2B5EF4-FFF2-40B4-BE49-F238E27FC236}">
                  <a16:creationId xmlns:a16="http://schemas.microsoft.com/office/drawing/2014/main" id="{00000000-0008-0000-1900-000078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34</xdr:row>
          <xdr:rowOff>12700</xdr:rowOff>
        </xdr:from>
        <xdr:to>
          <xdr:col>26</xdr:col>
          <xdr:colOff>592667</xdr:colOff>
          <xdr:row>35</xdr:row>
          <xdr:rowOff>8467</xdr:rowOff>
        </xdr:to>
        <xdr:sp macro="" textlink="">
          <xdr:nvSpPr>
            <xdr:cNvPr id="280953" name="Label 377" hidden="1">
              <a:extLst>
                <a:ext uri="{63B3BB69-23CF-44E3-9099-C40C66FF867C}">
                  <a14:compatExt spid="_x0000_s280953"/>
                </a:ext>
                <a:ext uri="{FF2B5EF4-FFF2-40B4-BE49-F238E27FC236}">
                  <a16:creationId xmlns:a16="http://schemas.microsoft.com/office/drawing/2014/main" id="{00000000-0008-0000-1900-000079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35</xdr:row>
          <xdr:rowOff>12700</xdr:rowOff>
        </xdr:from>
        <xdr:to>
          <xdr:col>26</xdr:col>
          <xdr:colOff>592667</xdr:colOff>
          <xdr:row>36</xdr:row>
          <xdr:rowOff>8467</xdr:rowOff>
        </xdr:to>
        <xdr:sp macro="" textlink="">
          <xdr:nvSpPr>
            <xdr:cNvPr id="280954" name="Label 378" hidden="1">
              <a:extLst>
                <a:ext uri="{63B3BB69-23CF-44E3-9099-C40C66FF867C}">
                  <a14:compatExt spid="_x0000_s280954"/>
                </a:ext>
                <a:ext uri="{FF2B5EF4-FFF2-40B4-BE49-F238E27FC236}">
                  <a16:creationId xmlns:a16="http://schemas.microsoft.com/office/drawing/2014/main" id="{00000000-0008-0000-1900-00007A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36</xdr:row>
          <xdr:rowOff>12700</xdr:rowOff>
        </xdr:from>
        <xdr:to>
          <xdr:col>26</xdr:col>
          <xdr:colOff>592667</xdr:colOff>
          <xdr:row>37</xdr:row>
          <xdr:rowOff>8467</xdr:rowOff>
        </xdr:to>
        <xdr:sp macro="" textlink="">
          <xdr:nvSpPr>
            <xdr:cNvPr id="280955" name="Label 379" hidden="1">
              <a:extLst>
                <a:ext uri="{63B3BB69-23CF-44E3-9099-C40C66FF867C}">
                  <a14:compatExt spid="_x0000_s280955"/>
                </a:ext>
                <a:ext uri="{FF2B5EF4-FFF2-40B4-BE49-F238E27FC236}">
                  <a16:creationId xmlns:a16="http://schemas.microsoft.com/office/drawing/2014/main" id="{00000000-0008-0000-1900-00007B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37</xdr:row>
          <xdr:rowOff>12700</xdr:rowOff>
        </xdr:from>
        <xdr:to>
          <xdr:col>26</xdr:col>
          <xdr:colOff>592667</xdr:colOff>
          <xdr:row>38</xdr:row>
          <xdr:rowOff>8467</xdr:rowOff>
        </xdr:to>
        <xdr:sp macro="" textlink="">
          <xdr:nvSpPr>
            <xdr:cNvPr id="280956" name="Label 380" hidden="1">
              <a:extLst>
                <a:ext uri="{63B3BB69-23CF-44E3-9099-C40C66FF867C}">
                  <a14:compatExt spid="_x0000_s280956"/>
                </a:ext>
                <a:ext uri="{FF2B5EF4-FFF2-40B4-BE49-F238E27FC236}">
                  <a16:creationId xmlns:a16="http://schemas.microsoft.com/office/drawing/2014/main" id="{00000000-0008-0000-1900-00007C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38</xdr:row>
          <xdr:rowOff>12700</xdr:rowOff>
        </xdr:from>
        <xdr:to>
          <xdr:col>26</xdr:col>
          <xdr:colOff>592667</xdr:colOff>
          <xdr:row>39</xdr:row>
          <xdr:rowOff>8467</xdr:rowOff>
        </xdr:to>
        <xdr:sp macro="" textlink="">
          <xdr:nvSpPr>
            <xdr:cNvPr id="280957" name="Label 381" hidden="1">
              <a:extLst>
                <a:ext uri="{63B3BB69-23CF-44E3-9099-C40C66FF867C}">
                  <a14:compatExt spid="_x0000_s280957"/>
                </a:ext>
                <a:ext uri="{FF2B5EF4-FFF2-40B4-BE49-F238E27FC236}">
                  <a16:creationId xmlns:a16="http://schemas.microsoft.com/office/drawing/2014/main" id="{00000000-0008-0000-1900-00007D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39</xdr:row>
          <xdr:rowOff>12700</xdr:rowOff>
        </xdr:from>
        <xdr:to>
          <xdr:col>26</xdr:col>
          <xdr:colOff>592667</xdr:colOff>
          <xdr:row>40</xdr:row>
          <xdr:rowOff>8467</xdr:rowOff>
        </xdr:to>
        <xdr:sp macro="" textlink="">
          <xdr:nvSpPr>
            <xdr:cNvPr id="280958" name="Label 382" hidden="1">
              <a:extLst>
                <a:ext uri="{63B3BB69-23CF-44E3-9099-C40C66FF867C}">
                  <a14:compatExt spid="_x0000_s280958"/>
                </a:ext>
                <a:ext uri="{FF2B5EF4-FFF2-40B4-BE49-F238E27FC236}">
                  <a16:creationId xmlns:a16="http://schemas.microsoft.com/office/drawing/2014/main" id="{00000000-0008-0000-1900-00007E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40</xdr:row>
          <xdr:rowOff>12700</xdr:rowOff>
        </xdr:from>
        <xdr:to>
          <xdr:col>26</xdr:col>
          <xdr:colOff>592667</xdr:colOff>
          <xdr:row>41</xdr:row>
          <xdr:rowOff>8467</xdr:rowOff>
        </xdr:to>
        <xdr:sp macro="" textlink="">
          <xdr:nvSpPr>
            <xdr:cNvPr id="280959" name="Label 383" hidden="1">
              <a:extLst>
                <a:ext uri="{63B3BB69-23CF-44E3-9099-C40C66FF867C}">
                  <a14:compatExt spid="_x0000_s280959"/>
                </a:ext>
                <a:ext uri="{FF2B5EF4-FFF2-40B4-BE49-F238E27FC236}">
                  <a16:creationId xmlns:a16="http://schemas.microsoft.com/office/drawing/2014/main" id="{00000000-0008-0000-1900-00007F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41</xdr:row>
          <xdr:rowOff>12700</xdr:rowOff>
        </xdr:from>
        <xdr:to>
          <xdr:col>26</xdr:col>
          <xdr:colOff>592667</xdr:colOff>
          <xdr:row>42</xdr:row>
          <xdr:rowOff>8467</xdr:rowOff>
        </xdr:to>
        <xdr:sp macro="" textlink="">
          <xdr:nvSpPr>
            <xdr:cNvPr id="280960" name="Label 384" hidden="1">
              <a:extLst>
                <a:ext uri="{63B3BB69-23CF-44E3-9099-C40C66FF867C}">
                  <a14:compatExt spid="_x0000_s280960"/>
                </a:ext>
                <a:ext uri="{FF2B5EF4-FFF2-40B4-BE49-F238E27FC236}">
                  <a16:creationId xmlns:a16="http://schemas.microsoft.com/office/drawing/2014/main" id="{00000000-0008-0000-1900-000080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42</xdr:row>
          <xdr:rowOff>12700</xdr:rowOff>
        </xdr:from>
        <xdr:to>
          <xdr:col>26</xdr:col>
          <xdr:colOff>592667</xdr:colOff>
          <xdr:row>43</xdr:row>
          <xdr:rowOff>8467</xdr:rowOff>
        </xdr:to>
        <xdr:sp macro="" textlink="">
          <xdr:nvSpPr>
            <xdr:cNvPr id="280961" name="Label 385" hidden="1">
              <a:extLst>
                <a:ext uri="{63B3BB69-23CF-44E3-9099-C40C66FF867C}">
                  <a14:compatExt spid="_x0000_s280961"/>
                </a:ext>
                <a:ext uri="{FF2B5EF4-FFF2-40B4-BE49-F238E27FC236}">
                  <a16:creationId xmlns:a16="http://schemas.microsoft.com/office/drawing/2014/main" id="{00000000-0008-0000-1900-000081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43</xdr:row>
          <xdr:rowOff>12700</xdr:rowOff>
        </xdr:from>
        <xdr:to>
          <xdr:col>26</xdr:col>
          <xdr:colOff>592667</xdr:colOff>
          <xdr:row>44</xdr:row>
          <xdr:rowOff>8467</xdr:rowOff>
        </xdr:to>
        <xdr:sp macro="" textlink="">
          <xdr:nvSpPr>
            <xdr:cNvPr id="280962" name="Label 386" hidden="1">
              <a:extLst>
                <a:ext uri="{63B3BB69-23CF-44E3-9099-C40C66FF867C}">
                  <a14:compatExt spid="_x0000_s280962"/>
                </a:ext>
                <a:ext uri="{FF2B5EF4-FFF2-40B4-BE49-F238E27FC236}">
                  <a16:creationId xmlns:a16="http://schemas.microsoft.com/office/drawing/2014/main" id="{00000000-0008-0000-1900-000082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44</xdr:row>
          <xdr:rowOff>12700</xdr:rowOff>
        </xdr:from>
        <xdr:to>
          <xdr:col>26</xdr:col>
          <xdr:colOff>592667</xdr:colOff>
          <xdr:row>45</xdr:row>
          <xdr:rowOff>8467</xdr:rowOff>
        </xdr:to>
        <xdr:sp macro="" textlink="">
          <xdr:nvSpPr>
            <xdr:cNvPr id="280963" name="Label 387" hidden="1">
              <a:extLst>
                <a:ext uri="{63B3BB69-23CF-44E3-9099-C40C66FF867C}">
                  <a14:compatExt spid="_x0000_s280963"/>
                </a:ext>
                <a:ext uri="{FF2B5EF4-FFF2-40B4-BE49-F238E27FC236}">
                  <a16:creationId xmlns:a16="http://schemas.microsoft.com/office/drawing/2014/main" id="{00000000-0008-0000-1900-000083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45</xdr:row>
          <xdr:rowOff>12700</xdr:rowOff>
        </xdr:from>
        <xdr:to>
          <xdr:col>26</xdr:col>
          <xdr:colOff>592667</xdr:colOff>
          <xdr:row>46</xdr:row>
          <xdr:rowOff>8467</xdr:rowOff>
        </xdr:to>
        <xdr:sp macro="" textlink="">
          <xdr:nvSpPr>
            <xdr:cNvPr id="280964" name="Label 388" hidden="1">
              <a:extLst>
                <a:ext uri="{63B3BB69-23CF-44E3-9099-C40C66FF867C}">
                  <a14:compatExt spid="_x0000_s280964"/>
                </a:ext>
                <a:ext uri="{FF2B5EF4-FFF2-40B4-BE49-F238E27FC236}">
                  <a16:creationId xmlns:a16="http://schemas.microsoft.com/office/drawing/2014/main" id="{00000000-0008-0000-1900-000084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46</xdr:row>
          <xdr:rowOff>12700</xdr:rowOff>
        </xdr:from>
        <xdr:to>
          <xdr:col>26</xdr:col>
          <xdr:colOff>592667</xdr:colOff>
          <xdr:row>47</xdr:row>
          <xdr:rowOff>8467</xdr:rowOff>
        </xdr:to>
        <xdr:sp macro="" textlink="">
          <xdr:nvSpPr>
            <xdr:cNvPr id="280965" name="Label 389" hidden="1">
              <a:extLst>
                <a:ext uri="{63B3BB69-23CF-44E3-9099-C40C66FF867C}">
                  <a14:compatExt spid="_x0000_s280965"/>
                </a:ext>
                <a:ext uri="{FF2B5EF4-FFF2-40B4-BE49-F238E27FC236}">
                  <a16:creationId xmlns:a16="http://schemas.microsoft.com/office/drawing/2014/main" id="{00000000-0008-0000-1900-000085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47</xdr:row>
          <xdr:rowOff>12700</xdr:rowOff>
        </xdr:from>
        <xdr:to>
          <xdr:col>26</xdr:col>
          <xdr:colOff>592667</xdr:colOff>
          <xdr:row>48</xdr:row>
          <xdr:rowOff>8467</xdr:rowOff>
        </xdr:to>
        <xdr:sp macro="" textlink="">
          <xdr:nvSpPr>
            <xdr:cNvPr id="280966" name="Label 390" hidden="1">
              <a:extLst>
                <a:ext uri="{63B3BB69-23CF-44E3-9099-C40C66FF867C}">
                  <a14:compatExt spid="_x0000_s280966"/>
                </a:ext>
                <a:ext uri="{FF2B5EF4-FFF2-40B4-BE49-F238E27FC236}">
                  <a16:creationId xmlns:a16="http://schemas.microsoft.com/office/drawing/2014/main" id="{00000000-0008-0000-1900-000086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48</xdr:row>
          <xdr:rowOff>12700</xdr:rowOff>
        </xdr:from>
        <xdr:to>
          <xdr:col>26</xdr:col>
          <xdr:colOff>592667</xdr:colOff>
          <xdr:row>49</xdr:row>
          <xdr:rowOff>8467</xdr:rowOff>
        </xdr:to>
        <xdr:sp macro="" textlink="">
          <xdr:nvSpPr>
            <xdr:cNvPr id="280967" name="Label 391" hidden="1">
              <a:extLst>
                <a:ext uri="{63B3BB69-23CF-44E3-9099-C40C66FF867C}">
                  <a14:compatExt spid="_x0000_s280967"/>
                </a:ext>
                <a:ext uri="{FF2B5EF4-FFF2-40B4-BE49-F238E27FC236}">
                  <a16:creationId xmlns:a16="http://schemas.microsoft.com/office/drawing/2014/main" id="{00000000-0008-0000-1900-000087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49</xdr:row>
          <xdr:rowOff>12700</xdr:rowOff>
        </xdr:from>
        <xdr:to>
          <xdr:col>26</xdr:col>
          <xdr:colOff>592667</xdr:colOff>
          <xdr:row>50</xdr:row>
          <xdr:rowOff>8467</xdr:rowOff>
        </xdr:to>
        <xdr:sp macro="" textlink="">
          <xdr:nvSpPr>
            <xdr:cNvPr id="280968" name="Label 392" hidden="1">
              <a:extLst>
                <a:ext uri="{63B3BB69-23CF-44E3-9099-C40C66FF867C}">
                  <a14:compatExt spid="_x0000_s280968"/>
                </a:ext>
                <a:ext uri="{FF2B5EF4-FFF2-40B4-BE49-F238E27FC236}">
                  <a16:creationId xmlns:a16="http://schemas.microsoft.com/office/drawing/2014/main" id="{00000000-0008-0000-1900-000088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50</xdr:row>
          <xdr:rowOff>12700</xdr:rowOff>
        </xdr:from>
        <xdr:to>
          <xdr:col>26</xdr:col>
          <xdr:colOff>592667</xdr:colOff>
          <xdr:row>51</xdr:row>
          <xdr:rowOff>8467</xdr:rowOff>
        </xdr:to>
        <xdr:sp macro="" textlink="">
          <xdr:nvSpPr>
            <xdr:cNvPr id="280969" name="Label 393" hidden="1">
              <a:extLst>
                <a:ext uri="{63B3BB69-23CF-44E3-9099-C40C66FF867C}">
                  <a14:compatExt spid="_x0000_s280969"/>
                </a:ext>
                <a:ext uri="{FF2B5EF4-FFF2-40B4-BE49-F238E27FC236}">
                  <a16:creationId xmlns:a16="http://schemas.microsoft.com/office/drawing/2014/main" id="{00000000-0008-0000-1900-000089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51</xdr:row>
          <xdr:rowOff>12700</xdr:rowOff>
        </xdr:from>
        <xdr:to>
          <xdr:col>26</xdr:col>
          <xdr:colOff>592667</xdr:colOff>
          <xdr:row>52</xdr:row>
          <xdr:rowOff>8467</xdr:rowOff>
        </xdr:to>
        <xdr:sp macro="" textlink="">
          <xdr:nvSpPr>
            <xdr:cNvPr id="280970" name="Label 394" hidden="1">
              <a:extLst>
                <a:ext uri="{63B3BB69-23CF-44E3-9099-C40C66FF867C}">
                  <a14:compatExt spid="_x0000_s280970"/>
                </a:ext>
                <a:ext uri="{FF2B5EF4-FFF2-40B4-BE49-F238E27FC236}">
                  <a16:creationId xmlns:a16="http://schemas.microsoft.com/office/drawing/2014/main" id="{00000000-0008-0000-1900-00008A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52</xdr:row>
          <xdr:rowOff>12700</xdr:rowOff>
        </xdr:from>
        <xdr:to>
          <xdr:col>26</xdr:col>
          <xdr:colOff>592667</xdr:colOff>
          <xdr:row>53</xdr:row>
          <xdr:rowOff>8467</xdr:rowOff>
        </xdr:to>
        <xdr:sp macro="" textlink="">
          <xdr:nvSpPr>
            <xdr:cNvPr id="280971" name="Label 395" hidden="1">
              <a:extLst>
                <a:ext uri="{63B3BB69-23CF-44E3-9099-C40C66FF867C}">
                  <a14:compatExt spid="_x0000_s280971"/>
                </a:ext>
                <a:ext uri="{FF2B5EF4-FFF2-40B4-BE49-F238E27FC236}">
                  <a16:creationId xmlns:a16="http://schemas.microsoft.com/office/drawing/2014/main" id="{00000000-0008-0000-1900-00008B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53</xdr:row>
          <xdr:rowOff>12700</xdr:rowOff>
        </xdr:from>
        <xdr:to>
          <xdr:col>26</xdr:col>
          <xdr:colOff>592667</xdr:colOff>
          <xdr:row>54</xdr:row>
          <xdr:rowOff>8467</xdr:rowOff>
        </xdr:to>
        <xdr:sp macro="" textlink="">
          <xdr:nvSpPr>
            <xdr:cNvPr id="280972" name="Label 396" hidden="1">
              <a:extLst>
                <a:ext uri="{63B3BB69-23CF-44E3-9099-C40C66FF867C}">
                  <a14:compatExt spid="_x0000_s280972"/>
                </a:ext>
                <a:ext uri="{FF2B5EF4-FFF2-40B4-BE49-F238E27FC236}">
                  <a16:creationId xmlns:a16="http://schemas.microsoft.com/office/drawing/2014/main" id="{00000000-0008-0000-1900-00008C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54</xdr:row>
          <xdr:rowOff>12700</xdr:rowOff>
        </xdr:from>
        <xdr:to>
          <xdr:col>26</xdr:col>
          <xdr:colOff>592667</xdr:colOff>
          <xdr:row>55</xdr:row>
          <xdr:rowOff>8467</xdr:rowOff>
        </xdr:to>
        <xdr:sp macro="" textlink="">
          <xdr:nvSpPr>
            <xdr:cNvPr id="280973" name="Label 397" hidden="1">
              <a:extLst>
                <a:ext uri="{63B3BB69-23CF-44E3-9099-C40C66FF867C}">
                  <a14:compatExt spid="_x0000_s280973"/>
                </a:ext>
                <a:ext uri="{FF2B5EF4-FFF2-40B4-BE49-F238E27FC236}">
                  <a16:creationId xmlns:a16="http://schemas.microsoft.com/office/drawing/2014/main" id="{00000000-0008-0000-1900-00008D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55</xdr:row>
          <xdr:rowOff>12700</xdr:rowOff>
        </xdr:from>
        <xdr:to>
          <xdr:col>26</xdr:col>
          <xdr:colOff>592667</xdr:colOff>
          <xdr:row>56</xdr:row>
          <xdr:rowOff>8467</xdr:rowOff>
        </xdr:to>
        <xdr:sp macro="" textlink="">
          <xdr:nvSpPr>
            <xdr:cNvPr id="280974" name="Label 398" hidden="1">
              <a:extLst>
                <a:ext uri="{63B3BB69-23CF-44E3-9099-C40C66FF867C}">
                  <a14:compatExt spid="_x0000_s280974"/>
                </a:ext>
                <a:ext uri="{FF2B5EF4-FFF2-40B4-BE49-F238E27FC236}">
                  <a16:creationId xmlns:a16="http://schemas.microsoft.com/office/drawing/2014/main" id="{00000000-0008-0000-1900-00008E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56</xdr:row>
          <xdr:rowOff>12700</xdr:rowOff>
        </xdr:from>
        <xdr:to>
          <xdr:col>26</xdr:col>
          <xdr:colOff>592667</xdr:colOff>
          <xdr:row>57</xdr:row>
          <xdr:rowOff>8467</xdr:rowOff>
        </xdr:to>
        <xdr:sp macro="" textlink="">
          <xdr:nvSpPr>
            <xdr:cNvPr id="280975" name="Label 399" hidden="1">
              <a:extLst>
                <a:ext uri="{63B3BB69-23CF-44E3-9099-C40C66FF867C}">
                  <a14:compatExt spid="_x0000_s280975"/>
                </a:ext>
                <a:ext uri="{FF2B5EF4-FFF2-40B4-BE49-F238E27FC236}">
                  <a16:creationId xmlns:a16="http://schemas.microsoft.com/office/drawing/2014/main" id="{00000000-0008-0000-1900-00008F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57</xdr:row>
          <xdr:rowOff>12700</xdr:rowOff>
        </xdr:from>
        <xdr:to>
          <xdr:col>26</xdr:col>
          <xdr:colOff>592667</xdr:colOff>
          <xdr:row>58</xdr:row>
          <xdr:rowOff>8467</xdr:rowOff>
        </xdr:to>
        <xdr:sp macro="" textlink="">
          <xdr:nvSpPr>
            <xdr:cNvPr id="280976" name="Label 400" hidden="1">
              <a:extLst>
                <a:ext uri="{63B3BB69-23CF-44E3-9099-C40C66FF867C}">
                  <a14:compatExt spid="_x0000_s280976"/>
                </a:ext>
                <a:ext uri="{FF2B5EF4-FFF2-40B4-BE49-F238E27FC236}">
                  <a16:creationId xmlns:a16="http://schemas.microsoft.com/office/drawing/2014/main" id="{00000000-0008-0000-1900-000090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58</xdr:row>
          <xdr:rowOff>12700</xdr:rowOff>
        </xdr:from>
        <xdr:to>
          <xdr:col>26</xdr:col>
          <xdr:colOff>592667</xdr:colOff>
          <xdr:row>59</xdr:row>
          <xdr:rowOff>8467</xdr:rowOff>
        </xdr:to>
        <xdr:sp macro="" textlink="">
          <xdr:nvSpPr>
            <xdr:cNvPr id="280977" name="Label 401" hidden="1">
              <a:extLst>
                <a:ext uri="{63B3BB69-23CF-44E3-9099-C40C66FF867C}">
                  <a14:compatExt spid="_x0000_s280977"/>
                </a:ext>
                <a:ext uri="{FF2B5EF4-FFF2-40B4-BE49-F238E27FC236}">
                  <a16:creationId xmlns:a16="http://schemas.microsoft.com/office/drawing/2014/main" id="{00000000-0008-0000-1900-000091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59</xdr:row>
          <xdr:rowOff>12700</xdr:rowOff>
        </xdr:from>
        <xdr:to>
          <xdr:col>26</xdr:col>
          <xdr:colOff>592667</xdr:colOff>
          <xdr:row>60</xdr:row>
          <xdr:rowOff>8467</xdr:rowOff>
        </xdr:to>
        <xdr:sp macro="" textlink="">
          <xdr:nvSpPr>
            <xdr:cNvPr id="280978" name="Label 402" hidden="1">
              <a:extLst>
                <a:ext uri="{63B3BB69-23CF-44E3-9099-C40C66FF867C}">
                  <a14:compatExt spid="_x0000_s280978"/>
                </a:ext>
                <a:ext uri="{FF2B5EF4-FFF2-40B4-BE49-F238E27FC236}">
                  <a16:creationId xmlns:a16="http://schemas.microsoft.com/office/drawing/2014/main" id="{00000000-0008-0000-1900-000092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60</xdr:row>
          <xdr:rowOff>12700</xdr:rowOff>
        </xdr:from>
        <xdr:to>
          <xdr:col>26</xdr:col>
          <xdr:colOff>592667</xdr:colOff>
          <xdr:row>61</xdr:row>
          <xdr:rowOff>8467</xdr:rowOff>
        </xdr:to>
        <xdr:sp macro="" textlink="">
          <xdr:nvSpPr>
            <xdr:cNvPr id="280979" name="Label 403" hidden="1">
              <a:extLst>
                <a:ext uri="{63B3BB69-23CF-44E3-9099-C40C66FF867C}">
                  <a14:compatExt spid="_x0000_s280979"/>
                </a:ext>
                <a:ext uri="{FF2B5EF4-FFF2-40B4-BE49-F238E27FC236}">
                  <a16:creationId xmlns:a16="http://schemas.microsoft.com/office/drawing/2014/main" id="{00000000-0008-0000-1900-000093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61</xdr:row>
          <xdr:rowOff>12700</xdr:rowOff>
        </xdr:from>
        <xdr:to>
          <xdr:col>26</xdr:col>
          <xdr:colOff>592667</xdr:colOff>
          <xdr:row>62</xdr:row>
          <xdr:rowOff>8467</xdr:rowOff>
        </xdr:to>
        <xdr:sp macro="" textlink="">
          <xdr:nvSpPr>
            <xdr:cNvPr id="280980" name="Label 404" hidden="1">
              <a:extLst>
                <a:ext uri="{63B3BB69-23CF-44E3-9099-C40C66FF867C}">
                  <a14:compatExt spid="_x0000_s280980"/>
                </a:ext>
                <a:ext uri="{FF2B5EF4-FFF2-40B4-BE49-F238E27FC236}">
                  <a16:creationId xmlns:a16="http://schemas.microsoft.com/office/drawing/2014/main" id="{00000000-0008-0000-1900-000094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62</xdr:row>
          <xdr:rowOff>12700</xdr:rowOff>
        </xdr:from>
        <xdr:to>
          <xdr:col>26</xdr:col>
          <xdr:colOff>592667</xdr:colOff>
          <xdr:row>63</xdr:row>
          <xdr:rowOff>8467</xdr:rowOff>
        </xdr:to>
        <xdr:sp macro="" textlink="">
          <xdr:nvSpPr>
            <xdr:cNvPr id="280981" name="Label 405" hidden="1">
              <a:extLst>
                <a:ext uri="{63B3BB69-23CF-44E3-9099-C40C66FF867C}">
                  <a14:compatExt spid="_x0000_s280981"/>
                </a:ext>
                <a:ext uri="{FF2B5EF4-FFF2-40B4-BE49-F238E27FC236}">
                  <a16:creationId xmlns:a16="http://schemas.microsoft.com/office/drawing/2014/main" id="{00000000-0008-0000-1900-000095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62</xdr:row>
          <xdr:rowOff>12700</xdr:rowOff>
        </xdr:from>
        <xdr:to>
          <xdr:col>26</xdr:col>
          <xdr:colOff>592667</xdr:colOff>
          <xdr:row>63</xdr:row>
          <xdr:rowOff>8467</xdr:rowOff>
        </xdr:to>
        <xdr:sp macro="" textlink="">
          <xdr:nvSpPr>
            <xdr:cNvPr id="280982" name="Label 406" hidden="1">
              <a:extLst>
                <a:ext uri="{63B3BB69-23CF-44E3-9099-C40C66FF867C}">
                  <a14:compatExt spid="_x0000_s280982"/>
                </a:ext>
                <a:ext uri="{FF2B5EF4-FFF2-40B4-BE49-F238E27FC236}">
                  <a16:creationId xmlns:a16="http://schemas.microsoft.com/office/drawing/2014/main" id="{00000000-0008-0000-1900-000096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63</xdr:row>
          <xdr:rowOff>12700</xdr:rowOff>
        </xdr:from>
        <xdr:to>
          <xdr:col>26</xdr:col>
          <xdr:colOff>592667</xdr:colOff>
          <xdr:row>64</xdr:row>
          <xdr:rowOff>8467</xdr:rowOff>
        </xdr:to>
        <xdr:sp macro="" textlink="">
          <xdr:nvSpPr>
            <xdr:cNvPr id="280983" name="Label 407" hidden="1">
              <a:extLst>
                <a:ext uri="{63B3BB69-23CF-44E3-9099-C40C66FF867C}">
                  <a14:compatExt spid="_x0000_s280983"/>
                </a:ext>
                <a:ext uri="{FF2B5EF4-FFF2-40B4-BE49-F238E27FC236}">
                  <a16:creationId xmlns:a16="http://schemas.microsoft.com/office/drawing/2014/main" id="{00000000-0008-0000-1900-000097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63</xdr:row>
          <xdr:rowOff>12700</xdr:rowOff>
        </xdr:from>
        <xdr:to>
          <xdr:col>26</xdr:col>
          <xdr:colOff>592667</xdr:colOff>
          <xdr:row>64</xdr:row>
          <xdr:rowOff>8467</xdr:rowOff>
        </xdr:to>
        <xdr:sp macro="" textlink="">
          <xdr:nvSpPr>
            <xdr:cNvPr id="280984" name="Label 408" hidden="1">
              <a:extLst>
                <a:ext uri="{63B3BB69-23CF-44E3-9099-C40C66FF867C}">
                  <a14:compatExt spid="_x0000_s280984"/>
                </a:ext>
                <a:ext uri="{FF2B5EF4-FFF2-40B4-BE49-F238E27FC236}">
                  <a16:creationId xmlns:a16="http://schemas.microsoft.com/office/drawing/2014/main" id="{00000000-0008-0000-1900-000098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64</xdr:row>
          <xdr:rowOff>12700</xdr:rowOff>
        </xdr:from>
        <xdr:to>
          <xdr:col>26</xdr:col>
          <xdr:colOff>592667</xdr:colOff>
          <xdr:row>65</xdr:row>
          <xdr:rowOff>8467</xdr:rowOff>
        </xdr:to>
        <xdr:sp macro="" textlink="">
          <xdr:nvSpPr>
            <xdr:cNvPr id="280985" name="Label 409" hidden="1">
              <a:extLst>
                <a:ext uri="{63B3BB69-23CF-44E3-9099-C40C66FF867C}">
                  <a14:compatExt spid="_x0000_s280985"/>
                </a:ext>
                <a:ext uri="{FF2B5EF4-FFF2-40B4-BE49-F238E27FC236}">
                  <a16:creationId xmlns:a16="http://schemas.microsoft.com/office/drawing/2014/main" id="{00000000-0008-0000-1900-000099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64</xdr:row>
          <xdr:rowOff>12700</xdr:rowOff>
        </xdr:from>
        <xdr:to>
          <xdr:col>26</xdr:col>
          <xdr:colOff>592667</xdr:colOff>
          <xdr:row>65</xdr:row>
          <xdr:rowOff>8467</xdr:rowOff>
        </xdr:to>
        <xdr:sp macro="" textlink="">
          <xdr:nvSpPr>
            <xdr:cNvPr id="280986" name="Label 410" hidden="1">
              <a:extLst>
                <a:ext uri="{63B3BB69-23CF-44E3-9099-C40C66FF867C}">
                  <a14:compatExt spid="_x0000_s280986"/>
                </a:ext>
                <a:ext uri="{FF2B5EF4-FFF2-40B4-BE49-F238E27FC236}">
                  <a16:creationId xmlns:a16="http://schemas.microsoft.com/office/drawing/2014/main" id="{00000000-0008-0000-1900-00009A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64</xdr:row>
          <xdr:rowOff>12700</xdr:rowOff>
        </xdr:from>
        <xdr:to>
          <xdr:col>26</xdr:col>
          <xdr:colOff>592667</xdr:colOff>
          <xdr:row>65</xdr:row>
          <xdr:rowOff>8467</xdr:rowOff>
        </xdr:to>
        <xdr:sp macro="" textlink="">
          <xdr:nvSpPr>
            <xdr:cNvPr id="280987" name="Label 411" hidden="1">
              <a:extLst>
                <a:ext uri="{63B3BB69-23CF-44E3-9099-C40C66FF867C}">
                  <a14:compatExt spid="_x0000_s280987"/>
                </a:ext>
                <a:ext uri="{FF2B5EF4-FFF2-40B4-BE49-F238E27FC236}">
                  <a16:creationId xmlns:a16="http://schemas.microsoft.com/office/drawing/2014/main" id="{00000000-0008-0000-1900-00009B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65</xdr:row>
          <xdr:rowOff>12700</xdr:rowOff>
        </xdr:from>
        <xdr:to>
          <xdr:col>26</xdr:col>
          <xdr:colOff>592667</xdr:colOff>
          <xdr:row>66</xdr:row>
          <xdr:rowOff>8467</xdr:rowOff>
        </xdr:to>
        <xdr:sp macro="" textlink="">
          <xdr:nvSpPr>
            <xdr:cNvPr id="280988" name="Label 412" hidden="1">
              <a:extLst>
                <a:ext uri="{63B3BB69-23CF-44E3-9099-C40C66FF867C}">
                  <a14:compatExt spid="_x0000_s280988"/>
                </a:ext>
                <a:ext uri="{FF2B5EF4-FFF2-40B4-BE49-F238E27FC236}">
                  <a16:creationId xmlns:a16="http://schemas.microsoft.com/office/drawing/2014/main" id="{00000000-0008-0000-1900-00009C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65</xdr:row>
          <xdr:rowOff>12700</xdr:rowOff>
        </xdr:from>
        <xdr:to>
          <xdr:col>26</xdr:col>
          <xdr:colOff>592667</xdr:colOff>
          <xdr:row>66</xdr:row>
          <xdr:rowOff>8467</xdr:rowOff>
        </xdr:to>
        <xdr:sp macro="" textlink="">
          <xdr:nvSpPr>
            <xdr:cNvPr id="280989" name="Label 413" hidden="1">
              <a:extLst>
                <a:ext uri="{63B3BB69-23CF-44E3-9099-C40C66FF867C}">
                  <a14:compatExt spid="_x0000_s280989"/>
                </a:ext>
                <a:ext uri="{FF2B5EF4-FFF2-40B4-BE49-F238E27FC236}">
                  <a16:creationId xmlns:a16="http://schemas.microsoft.com/office/drawing/2014/main" id="{00000000-0008-0000-1900-00009D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65</xdr:row>
          <xdr:rowOff>12700</xdr:rowOff>
        </xdr:from>
        <xdr:to>
          <xdr:col>26</xdr:col>
          <xdr:colOff>592667</xdr:colOff>
          <xdr:row>66</xdr:row>
          <xdr:rowOff>8467</xdr:rowOff>
        </xdr:to>
        <xdr:sp macro="" textlink="">
          <xdr:nvSpPr>
            <xdr:cNvPr id="280990" name="Label 414" hidden="1">
              <a:extLst>
                <a:ext uri="{63B3BB69-23CF-44E3-9099-C40C66FF867C}">
                  <a14:compatExt spid="_x0000_s280990"/>
                </a:ext>
                <a:ext uri="{FF2B5EF4-FFF2-40B4-BE49-F238E27FC236}">
                  <a16:creationId xmlns:a16="http://schemas.microsoft.com/office/drawing/2014/main" id="{00000000-0008-0000-1900-00009E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66</xdr:row>
          <xdr:rowOff>12700</xdr:rowOff>
        </xdr:from>
        <xdr:to>
          <xdr:col>26</xdr:col>
          <xdr:colOff>592667</xdr:colOff>
          <xdr:row>67</xdr:row>
          <xdr:rowOff>8467</xdr:rowOff>
        </xdr:to>
        <xdr:sp macro="" textlink="">
          <xdr:nvSpPr>
            <xdr:cNvPr id="280991" name="Label 415" hidden="1">
              <a:extLst>
                <a:ext uri="{63B3BB69-23CF-44E3-9099-C40C66FF867C}">
                  <a14:compatExt spid="_x0000_s280991"/>
                </a:ext>
                <a:ext uri="{FF2B5EF4-FFF2-40B4-BE49-F238E27FC236}">
                  <a16:creationId xmlns:a16="http://schemas.microsoft.com/office/drawing/2014/main" id="{00000000-0008-0000-1900-00009F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59267</xdr:colOff>
          <xdr:row>66</xdr:row>
          <xdr:rowOff>12700</xdr:rowOff>
        </xdr:from>
        <xdr:to>
          <xdr:col>26</xdr:col>
          <xdr:colOff>592667</xdr:colOff>
          <xdr:row>67</xdr:row>
          <xdr:rowOff>8467</xdr:rowOff>
        </xdr:to>
        <xdr:sp macro="" textlink="">
          <xdr:nvSpPr>
            <xdr:cNvPr id="280992" name="Label 416" hidden="1">
              <a:extLst>
                <a:ext uri="{63B3BB69-23CF-44E3-9099-C40C66FF867C}">
                  <a14:compatExt spid="_x0000_s280992"/>
                </a:ext>
                <a:ext uri="{FF2B5EF4-FFF2-40B4-BE49-F238E27FC236}">
                  <a16:creationId xmlns:a16="http://schemas.microsoft.com/office/drawing/2014/main" id="{00000000-0008-0000-1900-0000A04904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kit Kumar" id="{24CFE5FD-9BFA-4A51-8F99-9E03C7B322B0}" userId="S::EKKAUMN@ericsson.com::337bf6d6-c51e-4040-8110-84d93a23f6f1" providerId="AD"/>
  <person displayName="Ekta Kiran" id="{7D638B0B-D919-4B27-BA65-A1E153F86EA0}" userId="S::ekta.kiran@ericsson.com::4728a832-77a5-4ac1-985c-226b34e00483" providerId="AD"/>
  <person displayName="Anirban Das B" id="{AE0705C5-1109-405A-B1DC-E486553E87FF}" userId="S::anirban.b.das@ericsson.com::d58d4b71-e72e-4936-a8ec-3daa52c49bda" providerId="AD"/>
  <person displayName="Manab Goswami" id="{2F7453FD-D284-42D3-9842-226A7BDB3407}" userId="S::manab.goswami@ericsson.com::8cff57bc-5b49-47dd-be7a-9bdd65ca8bed" providerId="AD"/>
  <person displayName="Prity Kumari B" id="{AB7E8338-4A19-4D46-B6D5-4308EDB89C24}" userId="S::prity.b.kumari@ericsson.com::9f5435c2-1168-407b-aefb-1f036bdb3601" providerId="AD"/>
  <person displayName="Samiran Kumar Mondal" id="{AA43896B-736A-4A8D-B59D-746CD03248C3}" userId="S::mondal.samiran.kumar@ericsson.com::d0eed092-ebd4-4db2-8dc3-2f0baacdc01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1-06-03T11:20:12.76" personId="{AE0705C5-1109-405A-B1DC-E486553E87FF}" id="{B8625FCB-4762-4C21-B4A7-307C948A2B28}">
    <text>Enter a Nodename to Create</text>
  </threadedComment>
  <threadedComment ref="D2" dT="2021-06-03T11:20:28.20" personId="{AE0705C5-1109-405A-B1DC-E486553E87FF}" id="{432EDF2F-DDBB-49CD-AD93-AB60040D9B8B}">
    <text>Enter Nodetype for Node</text>
  </threadedComment>
  <threadedComment ref="E2" dT="2021-06-03T11:20:39.76" personId="{AE0705C5-1109-405A-B1DC-E486553E87FF}" id="{343057A0-5CF6-408B-BF81-B8AA7A88ADCF}">
    <text>Enter IP for Node</text>
  </threadedComment>
  <threadedComment ref="F2" dT="2021-06-03T11:21:00.21" personId="{AE0705C5-1109-405A-B1DC-E486553E87FF}" id="{C8C40484-B079-473C-A31D-39D931657FB7}">
    <text>Enter User for Node</text>
  </threadedComment>
  <threadedComment ref="G2" dT="2021-06-03T11:21:06.93" personId="{AE0705C5-1109-405A-B1DC-E486553E87FF}" id="{17BD7905-EEF4-4659-9771-C5DA08761FBA}">
    <text>Enter a password for Node</text>
  </threadedComment>
  <threadedComment ref="C3" dT="2021-06-03T11:20:12.76" personId="{AE0705C5-1109-405A-B1DC-E486553E87FF}" id="{7ECCD142-35CA-40C7-BF95-3126ACD01779}">
    <text>Enter a Nodename to Create</text>
  </threadedComment>
  <threadedComment ref="D3" dT="2021-06-03T11:20:28.20" personId="{AE0705C5-1109-405A-B1DC-E486553E87FF}" id="{F33ADD90-95D6-42E9-8C2B-6059C5AD6C42}">
    <text>Enter Nodetype for Node</text>
  </threadedComment>
  <threadedComment ref="E3" dT="2021-06-03T11:20:39.76" personId="{AE0705C5-1109-405A-B1DC-E486553E87FF}" id="{AE0C5CFB-D556-4E4B-B2C7-82AE00D8E95B}">
    <text>Enter IP for Node</text>
  </threadedComment>
  <threadedComment ref="F3" dT="2021-06-03T11:21:00.21" personId="{AE0705C5-1109-405A-B1DC-E486553E87FF}" id="{FB1532BE-6F23-4DC1-A280-2B4C94DF138D}">
    <text>Enter User for Node</text>
  </threadedComment>
  <threadedComment ref="G3" dT="2021-06-03T11:21:06.93" personId="{AE0705C5-1109-405A-B1DC-E486553E87FF}" id="{2558059E-2EF9-4F2B-B2B6-411E39BEE677}">
    <text>Enter a password for Node</text>
  </threadedComment>
  <threadedComment ref="C4" dT="2021-06-03T11:20:12.76" personId="{AE0705C5-1109-405A-B1DC-E486553E87FF}" id="{D4D66E00-0571-4508-9016-E6A3764F5E0B}">
    <text>Enter a Nodename to Create</text>
  </threadedComment>
  <threadedComment ref="D4" dT="2021-06-03T11:20:28.20" personId="{AE0705C5-1109-405A-B1DC-E486553E87FF}" id="{96240B1A-521A-4AE4-82AE-10380F2C2CCB}">
    <text>Enter Nodetype for Node</text>
  </threadedComment>
  <threadedComment ref="E4" dT="2021-06-03T11:20:39.76" personId="{AE0705C5-1109-405A-B1DC-E486553E87FF}" id="{A8242727-8E9A-48B4-A54B-66E0B5C47CDB}">
    <text>Enter IP for Node</text>
  </threadedComment>
  <threadedComment ref="F4" dT="2021-06-03T11:21:00.21" personId="{AE0705C5-1109-405A-B1DC-E486553E87FF}" id="{8C45A121-7CDA-410A-BDC8-7F9163DEB8F3}">
    <text>Enter User for Node</text>
  </threadedComment>
  <threadedComment ref="G4" dT="2021-06-03T11:21:06.93" personId="{AE0705C5-1109-405A-B1DC-E486553E87FF}" id="{C58C3FFD-AEE7-4C24-B372-3BE93C85D875}">
    <text>Enter a password for Node</text>
  </threadedComment>
  <threadedComment ref="H4" dT="2021-06-03T11:22:08.91" personId="{AE0705C5-1109-405A-B1DC-E486553E87FF}" id="{001EC969-F0AC-4BB4-8C36-95392766EB32}">
    <text>Enter a subnetwork name</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1-06-03T10:10:36.59" personId="{AE0705C5-1109-405A-B1DC-E486553E87FF}" id="{D61F5BE0-886C-4BE0-8985-E5F1F7188D1F}">
    <text>Enter nodename based on nodetype present in TOL</text>
  </threadedComment>
  <threadedComment ref="C3" dT="2021-06-03T10:10:36.59" personId="{AE0705C5-1109-405A-B1DC-E486553E87FF}" id="{D9E2DFCC-6F64-42FF-96A5-DEE12CB2CDD3}">
    <text>Enter nodename based on nodetype present in TOL</text>
  </threadedComment>
  <threadedComment ref="C4" dT="2021-06-03T10:10:36.59" personId="{AE0705C5-1109-405A-B1DC-E486553E87FF}" id="{CEBE96E1-A4C6-4C35-84D2-2AB03368001A}">
    <text>Enter nodename based on nodetype present in TOL</text>
  </threadedComment>
  <threadedComment ref="C5" dT="2021-06-03T10:10:36.59" personId="{AE0705C5-1109-405A-B1DC-E486553E87FF}" id="{82FF0AD1-E549-485F-A2C1-B676FE237462}">
    <text>Enter nodename based on nodetype present in TOL</text>
  </threadedComment>
  <threadedComment ref="C6" dT="2021-06-03T10:10:36.59" personId="{AE0705C5-1109-405A-B1DC-E486553E87FF}" id="{41518699-25E9-4B95-89FB-CA9282AA8FC4}">
    <text>Enter nodename based on nodetype present in TOL</text>
  </threadedComment>
  <threadedComment ref="D6" dT="2021-06-03T11:24:28.34" personId="{AE0705C5-1109-405A-B1DC-E486553E87FF}" id="{7BF98F72-8023-4185-884A-2C64634CF4A8}">
    <text>Enter a Jobname for creating a Backup JOB</text>
  </threadedComment>
  <threadedComment ref="D7" dT="2021-06-03T11:24:28.34" personId="{AE0705C5-1109-405A-B1DC-E486553E87FF}" id="{797F2C46-50C6-4F9E-9E19-1F36051911D0}">
    <text>Enter a Jobname for creating a Backup JOB</text>
  </threadedComment>
  <threadedComment ref="E7" dT="2021-06-03T11:26:57.17" personId="{AE0705C5-1109-405A-B1DC-E486553E87FF}" id="{7BD09EA4-08D5-4C18-A6E9-BA18CCC75C04}">
    <text>Enter new Jobname</text>
  </threadedComment>
  <threadedComment ref="C8" dT="2021-06-03T10:10:36.59" personId="{AE0705C5-1109-405A-B1DC-E486553E87FF}" id="{21212CDD-862E-4A77-8176-5D62C2DF3A65}">
    <text>Enter nodename based on nodetype present in TOL</text>
  </threadedComment>
  <threadedComment ref="C9" dT="2021-06-03T10:10:36.59" personId="{AE0705C5-1109-405A-B1DC-E486553E87FF}" id="{DC3B377C-3F10-4010-9702-86C076DDFDFF}">
    <text>Enter nodename based on nodetype present in TOL</text>
  </threadedComment>
  <threadedComment ref="C10" dT="2021-06-03T10:10:36.59" personId="{AE0705C5-1109-405A-B1DC-E486553E87FF}" id="{18E3C576-1378-43F5-BDFC-88183922D78C}">
    <text>Enter nodename based on nodetype present in TOL</text>
  </threadedComment>
  <threadedComment ref="C11" dT="2021-06-03T10:10:36.59" personId="{AE0705C5-1109-405A-B1DC-E486553E87FF}" id="{9DDE4784-D317-4E76-8B41-08E542E7734D}">
    <text>Enter nodename based on nodetype present in TOL</text>
  </threadedComment>
  <threadedComment ref="C12" dT="2021-06-03T10:10:36.59" personId="{AE0705C5-1109-405A-B1DC-E486553E87FF}" id="{E6131BA1-6781-4597-9EC1-CC879CB51175}">
    <text>Enter nodename based on nodetype present in TOL</text>
  </threadedComment>
  <threadedComment ref="D12" dT="2021-06-03T11:29:44.17" personId="{AE0705C5-1109-405A-B1DC-E486553E87FF}" id="{90859B18-4AD5-47B3-805A-A4D5FFF9991D}">
    <text>Enter a Jobname to restore backup</text>
  </threadedComment>
  <threadedComment ref="C13" dT="2021-06-03T10:10:36.59" personId="{AE0705C5-1109-405A-B1DC-E486553E87FF}" id="{F9B9114B-25B3-4872-8B70-678C8FE6B5C1}">
    <text>Enter nodename based on nodetype present in TOL</text>
  </threadedComment>
  <threadedComment ref="D13" dT="2021-06-03T11:25:39.96" personId="{AE0705C5-1109-405A-B1DC-E486553E87FF}" id="{BE768638-B145-4E7C-AFDE-C579BA9DF7A5}">
    <text>Enter the Jobname same as in rowno-6</text>
  </threadedComment>
  <threadedComment ref="C14" dT="2021-06-03T10:10:36.59" personId="{AE0705C5-1109-405A-B1DC-E486553E87FF}" id="{E4D03EF1-709D-47CE-8C94-27D32FDD7D0F}">
    <text>Enter nodename based on nodetype present in TOL</text>
  </threadedComment>
  <threadedComment ref="C15" dT="2021-06-03T10:10:36.59" personId="{AE0705C5-1109-405A-B1DC-E486553E87FF}" id="{30024337-FF8F-45CD-9FBE-FB3A37BFE218}">
    <text>Enter nodename based on nodetype present in TOL</text>
  </threadedComment>
  <threadedComment ref="D15" dT="2021-06-03T11:30:29.88" personId="{AE0705C5-1109-405A-B1DC-E486553E87FF}" id="{322D6685-B5CC-4C7F-8651-2A14FE97E42D}">
    <text>Enter a Jobname for Housekeeping of Backup of a Node</text>
  </threadedComment>
  <threadedComment ref="C17" dT="2021-06-03T10:10:36.59" personId="{AE0705C5-1109-405A-B1DC-E486553E87FF}" id="{97BF2732-E4B8-48AA-A7BA-729D8AD06C75}">
    <text>Enter nodename based on nodetype present in TOL</text>
  </threadedComment>
  <threadedComment ref="C18" dT="2021-06-03T10:10:36.59" personId="{AE0705C5-1109-405A-B1DC-E486553E87FF}" id="{38959DB5-69E0-4092-AA79-3F7444252791}">
    <text>Enter nodename based on nodetype present in TOL</text>
  </threadedComment>
  <threadedComment ref="C19" dT="2021-06-03T10:10:36.59" personId="{AE0705C5-1109-405A-B1DC-E486553E87FF}" id="{70242651-2B85-406E-A7DB-B6147F151471}">
    <text>Enter nodename based on nodetype present in TOL</text>
  </threadedComment>
  <threadedComment ref="C20" dT="2021-06-03T10:10:36.59" personId="{AE0705C5-1109-405A-B1DC-E486553E87FF}" id="{570AA083-403D-4C79-8CFE-C52CF386BB95}">
    <text>Enter nodename based on nodetype present in TOL</text>
  </threadedComment>
  <threadedComment ref="C23" dT="2021-06-03T10:10:36.59" personId="{AE0705C5-1109-405A-B1DC-E486553E87FF}" id="{8F608CAA-FC92-4739-BE11-2BCCAD2434BB}">
    <text>Enter nodename based on nodetype present in TOL</text>
  </threadedComment>
  <threadedComment ref="J26" dT="2021-12-23T09:19:35.13" personId="{2F7453FD-D284-42D3-9842-226A7BDB3407}" id="{520B03E1-8058-4E2E-B56A-75715D118373}">
    <text>Please add file name with extension here</text>
  </threadedComment>
  <threadedComment ref="F31" dT="2022-06-24T10:12:33.27" personId="{2F7453FD-D284-42D3-9842-226A7BDB3407}" id="{4E47E8AF-D94B-4965-B45F-1E2B8CB64864}">
    <text>Mention Script Path For where config.py is present.while reading and update backup job timings.</text>
  </threadedComment>
  <threadedComment ref="C32" dT="2021-06-03T10:10:36.59" personId="{AE0705C5-1109-405A-B1DC-E486553E87FF}" id="{2BC1BC87-166D-4220-A5C3-B048C81F85C4}">
    <text>Enter nodename based on nodetype present in TOL</text>
  </threadedComment>
  <threadedComment ref="C33" dT="2021-06-03T10:10:36.59" personId="{AE0705C5-1109-405A-B1DC-E486553E87FF}" id="{2D82B178-EAB0-4DDE-A4FF-2FFAE59CE069}">
    <text>Enter nodename based on nodetype present in TOL</text>
  </threadedComment>
  <threadedComment ref="C34" dT="2021-06-03T10:10:36.59" personId="{AE0705C5-1109-405A-B1DC-E486553E87FF}" id="{E4933E25-2E66-4F09-971F-17BF6D956B6C}">
    <text>Enter nodename based on nodetype present in TOL</text>
  </threadedComment>
</ThreadedComments>
</file>

<file path=xl/threadedComments/threadedComment3.xml><?xml version="1.0" encoding="utf-8"?>
<ThreadedComments xmlns="http://schemas.microsoft.com/office/spreadsheetml/2018/threadedcomments" xmlns:x="http://schemas.openxmlformats.org/spreadsheetml/2006/main">
  <threadedComment ref="C2" dT="2021-06-03T10:10:36.59" personId="{AE0705C5-1109-405A-B1DC-E486553E87FF}" id="{22ABB305-4B4F-4D1B-B08F-1214FEC10A47}">
    <text>Enter nodename based on nodetype present in TOL</text>
  </threadedComment>
  <threadedComment ref="E2" dT="2021-06-07T09:08:06.45" personId="{AE0705C5-1109-405A-B1DC-E486553E87FF}" id="{8A37B3B4-E7F5-427E-85F5-730B9E831619}">
    <text>Enter any Userlevel name</text>
  </threadedComment>
  <threadedComment ref="C3" dT="2021-06-03T10:10:36.59" personId="{AE0705C5-1109-405A-B1DC-E486553E87FF}" id="{3E8121D9-6FBF-4B2E-BD7D-DBE6DB3DDF07}">
    <text>Enter nodename based on nodetype present in TOL</text>
  </threadedComment>
  <threadedComment ref="G5" dT="2022-01-31T15:22:32.03" personId="{2F7453FD-D284-42D3-9842-226A7BDB3407}" id="{B360FF85-1C57-4DCB-83FC-0472CD02F6C7}">
    <text>lms host ip should be provided here</text>
  </threadedComment>
  <threadedComment ref="J5" dT="2022-01-04T16:39:07.80" personId="{2F7453FD-D284-42D3-9842-226A7BDB3407}" id="{45EEB961-E98C-4D25-8469-7A743BFD1C98}">
    <text>Download this CERT from ENM.CERT file should be placed in lms root directory by user before starting test. Cert file name must be provided in this box.</text>
  </threadedComment>
  <threadedComment ref="K5" dT="2022-01-04T16:38:44.40" personId="{2F7453FD-D284-42D3-9842-226A7BDB3407}" id="{AE0F0A14-DC9F-48CC-A960-1E1C522B3965}">
    <text>User must create a file containing userid and password of user with appropriate role in following format - IDToken1=&lt;username&gt;&amp;IDToken2=&lt;Password&gt; .Then place the file in lms root directory by user before starting test.same file name should be input here.</text>
  </threadedComment>
  <threadedComment ref="L5" dT="2022-01-04T16:38:18.45" personId="{2F7453FD-D284-42D3-9842-226A7BDB3407}" id="{BBAF2E7D-AC64-48EE-BCE5-FD6890912E60}">
    <text>Input import File name.This file must be provided by customer and kept inside lms root folder before starting test.Impact of this file import on network must be understood by customer.</text>
  </threadedComment>
  <threadedComment ref="N5" dT="2022-01-31T15:01:34.06" personId="{2F7453FD-D284-42D3-9842-226A7BDB3407}" id="{38363061-A51F-484F-8C78-21B81BBA2BE5}">
    <text>Please enter fdn of MO to be modified by import file .</text>
  </threadedComment>
  <threadedComment ref="L6" dT="2022-01-04T16:38:18.45" personId="{2F7453FD-D284-42D3-9842-226A7BDB3407}" id="{E485469D-16EF-406E-A576-8F495476D6FA}">
    <text>Input import file name.This file must be kept inside Automation folder before starting test.This is just a sample file,in case of actual use,customer must provide this and understand the impact on network.</text>
  </threadedComment>
  <threadedComment ref="N6" dT="2022-01-31T15:01:34.06" personId="{2F7453FD-D284-42D3-9842-226A7BDB3407}" id="{7AADC839-3268-445D-9156-C05D27DF6D73}">
    <text>Please enter fdn of MO to be modified by import file .</text>
  </threadedComment>
  <threadedComment ref="L7" dT="2022-02-10T11:01:08.30" personId="{AE0705C5-1109-405A-B1DC-E486553E87FF}" id="{2399E619-9ABD-49C2-A704-0370217728CA}">
    <text>Input a filename with userdefined filter</text>
  </threadedComment>
</ThreadedComments>
</file>

<file path=xl/threadedComments/threadedComment4.xml><?xml version="1.0" encoding="utf-8"?>
<ThreadedComments xmlns="http://schemas.microsoft.com/office/spreadsheetml/2018/threadedcomments" xmlns:x="http://schemas.openxmlformats.org/spreadsheetml/2006/main">
  <threadedComment ref="C2" dT="2021-06-03T11:44:53.99" personId="{AE0705C5-1109-405A-B1DC-E486553E87FF}" id="{E20529F9-7E9C-462A-B2AE-76B1734E3D3A}">
    <text>Enter LMS Ip</text>
  </threadedComment>
  <threadedComment ref="D2" dT="2021-06-03T11:45:10.15" personId="{AE0705C5-1109-405A-B1DC-E486553E87FF}" id="{F6C9DD82-92F9-4DAB-B728-FFC15279EF1B}">
    <text>Enter root user of LMS IP</text>
  </threadedComment>
  <threadedComment ref="E2" dT="2021-06-03T11:45:21.18" personId="{AE0705C5-1109-405A-B1DC-E486553E87FF}" id="{7C961EEB-11B0-43A8-8316-11963D86352A}">
    <text>Enter Root Password for lms ip</text>
  </threadedComment>
  <threadedComment ref="F2" dT="2023-05-23T07:01:41.54" personId="{2F7453FD-D284-42D3-9842-226A7BDB3407}" id="{5213B061-536B-4DCF-97BA-6733C37A709E}">
    <text>Put Admin Username For ENM Url</text>
  </threadedComment>
  <threadedComment ref="G2" dT="2023-05-23T07:05:02.72" personId="{2F7453FD-D284-42D3-9842-226A7BDB3407}" id="{D3199A0B-E9A9-4F1B-99E7-2F7DFC0E4A9A}">
    <text>Put Admin User Password for ENM url</text>
  </threadedComment>
  <threadedComment ref="H2" dT="2023-05-23T07:03:03.37" personId="{2F7453FD-D284-42D3-9842-226A7BDB3407}" id="{F83CCFFA-76C9-492E-BB42-FBA85847F426}">
    <text>Enter Client Machine(e.g-scp server) Host Name</text>
  </threadedComment>
  <threadedComment ref="I2" dT="2023-05-23T07:03:22.57" personId="{2F7453FD-D284-42D3-9842-226A7BDB3407}" id="{7E70CB49-FE6A-4B5A-AF4C-6A94B6B901CB}">
    <text>Enter Client Machine(e.g-scp server) User Name</text>
  </threadedComment>
  <threadedComment ref="J2" dT="2023-05-23T07:03:38.92" personId="{2F7453FD-D284-42D3-9842-226A7BDB3407}" id="{A91F4328-5A22-44F8-833A-1C98A02F4BDD}">
    <text>Enter Client Machine(e.g-scp server) User Password</text>
  </threadedComment>
  <threadedComment ref="C3" dT="2021-06-03T11:44:53.99" personId="{AE0705C5-1109-405A-B1DC-E486553E87FF}" id="{472E197C-1470-4DA4-BB29-9F94DBA2F750}">
    <text>Enter LMS Ip</text>
  </threadedComment>
  <threadedComment ref="D3" dT="2021-06-03T11:45:10.15" personId="{AE0705C5-1109-405A-B1DC-E486553E87FF}" id="{7460A16F-0EFA-4A38-A12E-F09D3DA17E2F}">
    <text>Enter root user of LMS IP</text>
  </threadedComment>
  <threadedComment ref="E3" dT="2021-06-03T11:45:21.18" personId="{AE0705C5-1109-405A-B1DC-E486553E87FF}" id="{F712C6F9-19B9-40BD-BBDD-A8384FD3EBAD}">
    <text>Enter Root Password for lms ip</text>
  </threadedComment>
  <threadedComment ref="H3" dT="2023-05-19T05:27:05.67" personId="{2F7453FD-D284-42D3-9842-226A7BDB3407}" id="{B0A33CD6-1318-402B-92CD-AD57DB29B2D1}">
    <text>Enter Client Machine(e.g-scp server) User Name.Modules will get installed in this machine.</text>
  </threadedComment>
  <threadedComment ref="I3" dT="2023-05-19T05:27:55.39" personId="{2F7453FD-D284-42D3-9842-226A7BDB3407}" id="{CF1D3515-2909-42CE-9BFF-EE29EFF8CFD3}">
    <text>Enter Client Machine(e.g-scp server)  Password.</text>
  </threadedComment>
  <threadedComment ref="J3" dT="2023-05-19T05:28:25.29" personId="{2F7453FD-D284-42D3-9842-226A7BDB3407}" id="{6C3F7ACD-F118-4EDB-A499-86BCCBF63724}">
    <text>Enter Client Machine(e.g-scp server) Host Name or IP.</text>
  </threadedComment>
  <threadedComment ref="C4" dT="2021-06-03T11:44:53.99" personId="{AE0705C5-1109-405A-B1DC-E486553E87FF}" id="{FD557346-1DCB-4396-984D-AEE7C5B72184}">
    <text>Enter LMS Ip</text>
  </threadedComment>
  <threadedComment ref="D4" dT="2021-06-03T11:45:10.15" personId="{AE0705C5-1109-405A-B1DC-E486553E87FF}" id="{20331EE9-802F-4CDA-B500-D0588B2C42D7}">
    <text>Enter root user of LMS IP</text>
  </threadedComment>
  <threadedComment ref="E4" dT="2021-06-03T11:45:21.18" personId="{AE0705C5-1109-405A-B1DC-E486553E87FF}" id="{5441D401-BBF9-4EA7-BB7B-2B2DBABBC238}">
    <text>Enter Root Password for lms ip</text>
  </threadedComment>
  <threadedComment ref="H4" dT="2023-05-23T07:03:03.37" personId="{2F7453FD-D284-42D3-9842-226A7BDB3407}" id="{244BA0A6-46C7-4F5E-AA24-15CC9ECBA2B3}">
    <text>Enter Client Machine(e.g-scp server) Host Name</text>
  </threadedComment>
  <threadedComment ref="I4" dT="2023-05-23T07:03:22.57" personId="{2F7453FD-D284-42D3-9842-226A7BDB3407}" id="{2037FB78-8839-4E72-90AA-1F96DB67CAAA}">
    <text>Enter Client Machine(e.g-scp server) User Name</text>
  </threadedComment>
  <threadedComment ref="J4" dT="2023-05-23T07:03:38.92" personId="{2F7453FD-D284-42D3-9842-226A7BDB3407}" id="{B8F3349C-8A33-4C95-9D98-892165392441}">
    <text>Enter Client Machine(e.g-scp server) User Password</text>
  </threadedComment>
  <threadedComment ref="K4" dT="2024-08-30T10:41:33.42" personId="{AE0705C5-1109-405A-B1DC-E486553E87FF}" id="{06ABE92E-280C-4B43-94EE-A2EA5F99E371}">
    <text>Input CA Cert file name.This file should be downloaded from ENM GUI and Put it in Client Server -in /home/client_username.
Example : if you are using Administrator then transfer the .pem file in /home/administrator</text>
  </threadedComment>
  <threadedComment ref="L4" dT="2024-08-30T10:45:49.59" personId="{AE0705C5-1109-405A-B1DC-E486553E87FF}" id="{833A78BD-DBAC-4E8A-A480-ED629D9C32EF}">
    <text>User must create a file containing userid and password of user with appropriate role in following format - IDToken1=&lt;username&gt;&amp;IDToken2=&lt;Password&gt; .Then place the file in Client_Host  /home/client_username directory by user before starting test.same file name should be input here. 
Example : if you are using Administrator , then transfer file to /home/administrator.</text>
  </threadedComment>
</ThreadedComments>
</file>

<file path=xl/threadedComments/threadedComment5.xml><?xml version="1.0" encoding="utf-8"?>
<ThreadedComments xmlns="http://schemas.microsoft.com/office/spreadsheetml/2018/threadedcomments" xmlns:x="http://schemas.openxmlformats.org/spreadsheetml/2006/main">
  <threadedComment ref="H2" dT="2022-01-04T16:39:07.80" personId="{2F7453FD-D284-42D3-9842-226A7BDB3407}" id="{EC1F9582-AD39-41F6-9E5D-EFE4A691E44F}">
    <text>Input CA Cert file name</text>
  </threadedComment>
  <threadedComment ref="I2" dT="2022-01-04T16:38:44.40" personId="{2F7453FD-D284-42D3-9842-226A7BDB3407}" id="{7A42A95F-159A-4B43-9341-8FEE529F4E5E}">
    <text>User must create a file containing userid and password of user with appropriate role in following format - IDToken1=&lt;username&gt;&amp;IDToken2=&lt;Password&gt; .Then place the file in lms root directory by user before starting test.same file name should be input here.</text>
  </threadedComment>
  <threadedComment ref="J2" dT="2021-06-03T10:10:56.11" personId="{AE0705C5-1109-405A-B1DC-E486553E87FF}" id="{8A4DCFAA-8C14-4839-9687-BE7C57EAE11F}">
    <text>Enter nodename based on nodetype present in TOL</text>
  </threadedComment>
  <threadedComment ref="K2" dT="2021-06-03T10:10:56.11" personId="{AE0705C5-1109-405A-B1DC-E486553E87FF}" id="{C88015DE-61C0-4DDE-ADD2-BC03C194F698}">
    <text>Enter nodename based on nodetype present in TOL</text>
  </threadedComment>
  <threadedComment ref="H3" dT="2022-01-04T16:39:07.80" personId="{2F7453FD-D284-42D3-9842-226A7BDB3407}" id="{0A825141-3413-4C65-830A-9C54C36A777C}">
    <text>Input CA Cert file name</text>
  </threadedComment>
  <threadedComment ref="I3" dT="2022-01-04T16:38:44.40" personId="{2F7453FD-D284-42D3-9842-226A7BDB3407}" id="{4F7FC747-6D24-4F51-B235-00B2AEC47596}">
    <text>User must create a file containing userid and password of user with appropriate role in following format - IDToken1=&lt;username&gt;&amp;IDToken2=&lt;Password&gt; .Then place the file in lms root directory by user before starting test.same file name should be input here.</text>
  </threadedComment>
  <threadedComment ref="J3" dT="2021-06-03T10:10:56.11" personId="{AE0705C5-1109-405A-B1DC-E486553E87FF}" id="{668678AA-9488-4F53-B315-707C491B399C}">
    <text>Enter nodename based on nodetype present in TOL</text>
  </threadedComment>
  <threadedComment ref="K3" dT="2021-06-03T10:10:56.11" personId="{AE0705C5-1109-405A-B1DC-E486553E87FF}" id="{3C356D40-18AD-438F-8E70-392E2C792B7F}">
    <text>Enter nodename based on nodetype present in TOL</text>
  </threadedComment>
  <threadedComment ref="C4" dT="2021-06-03T10:10:56.11" personId="{AE0705C5-1109-405A-B1DC-E486553E87FF}" id="{F6402BDD-8EB7-4A10-B51A-FB89695C00E1}">
    <text>Enter nodename based on nodetype present in TOL</text>
  </threadedComment>
  <threadedComment ref="H4" dT="2022-01-04T16:39:07.80" personId="{2F7453FD-D284-42D3-9842-226A7BDB3407}" id="{65C78292-FDCC-4C44-A938-0AE87DAC57E7}">
    <text>Input CA Cert file name</text>
  </threadedComment>
  <threadedComment ref="I4" dT="2022-01-04T16:38:44.40" personId="{2F7453FD-D284-42D3-9842-226A7BDB3407}" id="{B036CD2B-B3C5-482F-A387-244547A167AB}">
    <text>User must create a file containing userid and password of user with appropriate role in following format - IDToken1=&lt;username&gt;&amp;IDToken2=&lt;Password&gt; .Then place the file in lms root directory by user before starting test.same file name should be input here.</text>
  </threadedComment>
  <threadedComment ref="J4" dT="2021-06-03T10:10:56.11" personId="{AE0705C5-1109-405A-B1DC-E486553E87FF}" id="{27CAC524-6AB6-4A66-BC5B-AD9EB871BB25}">
    <text>Enter nodename based on nodetype present in TOL</text>
  </threadedComment>
  <threadedComment ref="H5" dT="2022-01-04T16:39:07.80" personId="{2F7453FD-D284-42D3-9842-226A7BDB3407}" id="{40251069-B82E-40A6-8134-F5E89BE02E00}">
    <text>Download this CERT from ENM.CERT file should be placed in lms root directory by user before starting test. Cert file name must be provided in this box.</text>
  </threadedComment>
  <threadedComment ref="I5" dT="2022-01-04T16:38:44.40" personId="{2F7453FD-D284-42D3-9842-226A7BDB3407}" id="{E9E75189-A08D-4ACC-9EB7-149D29F7361D}">
    <text>User must create a file containing userid and password of user with appropriate role in following format - IDToken1=&lt;username&gt;&amp;IDToken2=&lt;Password&gt; .Then place the file in lms root directory by user before starting test.same file name should be input here.</text>
  </threadedComment>
  <threadedComment ref="J5" dT="2022-01-04T16:38:18.45" personId="{2F7453FD-D284-42D3-9842-226A7BDB3407}" id="{ED0D8C67-55B2-43F0-9ED3-F236AB79FB4E}">
    <text>Input JSON File name specific to filter,file should present in root directory of host prior to running testcases.</text>
  </threadedComment>
  <threadedComment ref="K5" dT="2021-06-03T10:10:56.11" personId="{AE0705C5-1109-405A-B1DC-E486553E87FF}" id="{D2AB1EEA-5A8A-46CC-978E-6CC4C1D4FDE9}">
    <text>Enter nodename based on nodetype present in TOL</text>
  </threadedComment>
  <threadedComment ref="H6" dT="2022-01-04T16:39:07.80" personId="{2F7453FD-D284-42D3-9842-226A7BDB3407}" id="{0B622112-961D-4736-B682-6F08CD6D8536}">
    <text>Download this CERT from ENM.CERT file should be placed in lms root directory by user before starting test. Cert file name must be provided in this box.</text>
  </threadedComment>
  <threadedComment ref="I6" dT="2022-01-04T16:38:44.40" personId="{2F7453FD-D284-42D3-9842-226A7BDB3407}" id="{3A3D32DC-FD70-4585-8CD6-E0A5DE5AB4C5}">
    <text>User must create a file containing userid and password of user with appropriate role in following format - IDToken1=&lt;username&gt;&amp;IDToken2=&lt;Password&gt; .Then place the file in lms root directory by user before starting test.same file name should be input here.</text>
  </threadedComment>
  <threadedComment ref="J6" dT="2022-01-04T16:38:18.45" personId="{2F7453FD-D284-42D3-9842-226A7BDB3407}" id="{347437F2-E7B9-43DA-839D-4E0CDBD473A9}">
    <text>Input import File name,file should present in root directory of host prior to running testcases.</text>
  </threadedComment>
  <threadedComment ref="K6" dT="2021-06-03T10:10:56.11" personId="{AE0705C5-1109-405A-B1DC-E486553E87FF}" id="{5EC1E455-E910-4E02-9D18-F00A25B90300}">
    <text>Enter nodename based on nodetype present in TOL</text>
  </threadedComment>
  <threadedComment ref="H7" dT="2022-01-04T16:39:07.80" personId="{2F7453FD-D284-42D3-9842-226A7BDB3407}" id="{275C16A5-21FE-4A63-A858-C13CBA77FF1F}">
    <text>Download this CERT from ENM.CERT file should be placed in lms root directory by user before starting test. Cert file name must be provided in this box.</text>
  </threadedComment>
  <threadedComment ref="I7" dT="2022-01-04T16:38:44.40" personId="{2F7453FD-D284-42D3-9842-226A7BDB3407}" id="{1BD04288-EF39-4B7E-8E67-FFEE174F41BC}">
    <text>User must create a file containing userid and password of user with appropriate role in following format - IDToken1=&lt;username&gt;&amp;IDToken2=&lt;Password&gt; .Then place the file in lms root directory by user before starting test.same file name should be input here.</text>
  </threadedComment>
  <threadedComment ref="J7" dT="2022-01-04T16:38:18.45" personId="{2F7453FD-D284-42D3-9842-226A7BDB3407}" id="{3D878DAC-47C2-4454-ABC7-AE2807A40EDC}">
    <text>Input import File name,file should present in root directory of host prior to running testcases.</text>
  </threadedComment>
  <threadedComment ref="K7" dT="2021-06-03T10:10:56.11" personId="{AE0705C5-1109-405A-B1DC-E486553E87FF}" id="{351DB36E-E118-48FB-9468-A9ED6B0DC0D2}">
    <text>Enter nodename based on nodetype present in TOL</text>
  </threadedComment>
  <threadedComment ref="H8" dT="2022-01-04T16:39:07.80" personId="{2F7453FD-D284-42D3-9842-226A7BDB3407}" id="{30DDCF41-314B-4841-A84E-6400E906055E}">
    <text>Download this CERT from ENM.CERT file should be placed in lms root directory by user before starting test. Cert file name must be provided in this box.</text>
  </threadedComment>
  <threadedComment ref="I8" dT="2022-01-04T16:38:44.40" personId="{2F7453FD-D284-42D3-9842-226A7BDB3407}" id="{B4FD29EB-DB5B-4395-A0A5-243AA1AAD880}">
    <text>User must create a file containing userid and password of user with appropriate role in following format - IDToken1=&lt;username&gt;&amp;IDToken2=&lt;Password&gt; .Then place the file in lms root directory by user before starting test.same file name should be input here.</text>
  </threadedComment>
  <threadedComment ref="J8" dT="2021-06-03T10:10:56.11" personId="{AE0705C5-1109-405A-B1DC-E486553E87FF}" id="{794A0464-F09C-415D-B86E-5D393DA2D71A}">
    <text>Enter nodename based on nodetype present in TOL</text>
  </threadedComment>
  <threadedComment ref="K8" dT="2022-01-28T12:52:19.74" personId="{2F7453FD-D284-42D3-9842-226A7BDB3407}" id="{317D8CFC-C4AC-489C-98EB-267CA423D1B7}">
    <text>enter file type dynamic or 3gpp as applicable</text>
  </threadedComment>
  <threadedComment ref="H9" dT="2022-01-04T16:39:07.80" personId="{2F7453FD-D284-42D3-9842-226A7BDB3407}" id="{D9D8896C-543A-48BB-AAD5-ECC6537F55F2}">
    <text>Download this CERT from ENM.CERT file should be placed in lms root directory by user before starting test. Cert file name must be provided in this box.</text>
  </threadedComment>
  <threadedComment ref="I9" dT="2022-01-04T16:38:44.40" personId="{2F7453FD-D284-42D3-9842-226A7BDB3407}" id="{8130987A-E934-4EE3-AD21-56279ACC2D2F}">
    <text>User must create a file containing userid and password of user with appropriate role in following format - IDToken1=&lt;username&gt;&amp;IDToken2=&lt;Password&gt; .Then place the file in lms root directory by user before starting test.same file name should be input here.</text>
  </threadedComment>
  <threadedComment ref="J9" dT="2021-06-03T10:10:56.11" personId="{AE0705C5-1109-405A-B1DC-E486553E87FF}" id="{C63BEBCA-760B-4E19-BE57-4929645500E1}">
    <text>Enter nodename based on nodetype present in TOL</text>
  </threadedComment>
  <threadedComment ref="K9" dT="2022-01-28T12:52:19.74" personId="{2F7453FD-D284-42D3-9842-226A7BDB3407}" id="{4C5B6255-828A-4124-A3DD-2109093957FA}">
    <text>enter file type dynamic or 3gpp as applicable</text>
  </threadedComment>
  <threadedComment ref="H10" dT="2022-01-04T16:39:07.80" personId="{2F7453FD-D284-42D3-9842-226A7BDB3407}" id="{F6DCC316-0C2D-48F0-A3CC-9B8013986AA8}">
    <text>Download this CERT from ENM.CERT file should be placed in lms root directory by user before starting test. Cert file name must be provided in this box.</text>
  </threadedComment>
  <threadedComment ref="I10" dT="2022-01-04T16:38:44.40" personId="{2F7453FD-D284-42D3-9842-226A7BDB3407}" id="{0083E055-E7EA-4D84-8116-4BBD142B2824}">
    <text>User must create a file containing userid and password of user with appropriate role in following format - IDToken1=&lt;username&gt;&amp;IDToken2=&lt;Password&gt; .Then place the file in lms root directory by user before starting test.same file name should be input here.</text>
  </threadedComment>
  <threadedComment ref="J10" dT="2021-06-03T10:10:56.11" personId="{AE0705C5-1109-405A-B1DC-E486553E87FF}" id="{14C32693-0BC0-4D01-B9AC-6007AFFDDA0F}">
    <text>Enter nodename based on nodetype present in TOL</text>
  </threadedComment>
  <threadedComment ref="K10" dT="2021-06-03T10:10:56.11" personId="{AE0705C5-1109-405A-B1DC-E486553E87FF}" id="{DCB9A0C6-2C7E-4BEA-9B0C-4CDF54E25480}">
    <text>Enter nodename based on nodetype present in TOL</text>
  </threadedComment>
</ThreadedComments>
</file>

<file path=xl/threadedComments/threadedComment6.xml><?xml version="1.0" encoding="utf-8"?>
<ThreadedComments xmlns="http://schemas.microsoft.com/office/spreadsheetml/2018/threadedcomments" xmlns:x="http://schemas.openxmlformats.org/spreadsheetml/2006/main">
  <threadedComment ref="M8" dT="2021-06-03T11:44:53.99" personId="{AE0705C5-1109-405A-B1DC-E486553E87FF}" id="{54126891-49D0-4157-AB82-B99770DDE053}">
    <text>Enter LMS Ip</text>
  </threadedComment>
  <threadedComment ref="N8" dT="2021-06-03T11:45:10.15" personId="{AE0705C5-1109-405A-B1DC-E486553E87FF}" id="{A92BDBD4-643A-458E-9D44-AED5C437D512}">
    <text>Enter root user of LMS IP</text>
  </threadedComment>
  <threadedComment ref="O8" dT="2021-06-03T11:45:21.18" personId="{AE0705C5-1109-405A-B1DC-E486553E87FF}" id="{37526E49-2E4E-4A78-A8D9-CBCA18EF3C85}">
    <text>Enter Root Password for lms ip</text>
  </threadedComment>
  <threadedComment ref="Q8" dT="2021-06-03T11:46:02.33" personId="{AE0705C5-1109-405A-B1DC-E486553E87FF}" id="{323100F0-2ECE-4D32-B992-AE276463EC52}">
    <text>Enter a scripting blade-name that is present in LMS</text>
  </threadedComment>
  <threadedComment ref="R8" dT="2021-06-03T11:46:43.18" personId="{AE0705C5-1109-405A-B1DC-E486553E87FF}" id="{338C8BE7-034B-490A-8704-47DBEFEAACD5}">
    <text>Enter litp-admin user for provided Bladename(scriptinguser)</text>
  </threadedComment>
  <threadedComment ref="S8" dT="2021-06-03T11:47:03.07" personId="{AE0705C5-1109-405A-B1DC-E486553E87FF}" id="{AFAC6A92-9862-4885-880C-A8A094FE2505}">
    <text>Enter Bladepassword for BladeUsername</text>
  </threadedComment>
  <threadedComment ref="T8" dT="2021-06-03T11:47:33.37" personId="{AE0705C5-1109-405A-B1DC-E486553E87FF}" id="{A669325A-5918-4BB7-9281-8335AC31BD13}">
    <text>Enter Blade root password for BladeUserName</text>
  </threadedComment>
</ThreadedComments>
</file>

<file path=xl/threadedComments/threadedComment7.xml><?xml version="1.0" encoding="utf-8"?>
<ThreadedComments xmlns="http://schemas.microsoft.com/office/spreadsheetml/2018/threadedcomments" xmlns:x="http://schemas.openxmlformats.org/spreadsheetml/2006/main">
  <threadedComment ref="C2" dT="2021-06-03T10:10:36.59" personId="{AE0705C5-1109-405A-B1DC-E486553E87FF}" id="{AFCF6BEF-7048-4FDE-8783-B47D3A03B451}">
    <text>Enter nodename based on nodetype present in TOL</text>
  </threadedComment>
  <threadedComment ref="C3" dT="2021-06-03T11:16:49.66" personId="{AE0705C5-1109-405A-B1DC-E486553E87FF}" id="{B857E1B8-432B-4C3C-9D63-8AC450C1DB76}">
    <text>Enter a nodename to create</text>
  </threadedComment>
  <threadedComment ref="D3" dT="2021-06-03T11:18:01.94" personId="{AE0705C5-1109-405A-B1DC-E486553E87FF}" id="{B00DF895-CD8F-4E9B-B122-AE24D78611B3}">
    <text>Enter a nodetype you want to create</text>
  </threadedComment>
  <threadedComment ref="E3" dT="2021-06-03T11:18:14.55" personId="{AE0705C5-1109-405A-B1DC-E486553E87FF}" id="{1666192C-0D91-4E3A-AE30-7C4F267BE356}">
    <text>Enter IP for Node</text>
  </threadedComment>
  <threadedComment ref="F3" dT="2021-06-03T11:18:26.86" personId="{AE0705C5-1109-405A-B1DC-E486553E87FF}" id="{09440A94-4159-4031-926A-C65E7998DE4A}">
    <text>Enter SecurityPass for Node</text>
  </threadedComment>
  <threadedComment ref="I3" dT="2021-06-03T11:18:46.64" personId="{AE0705C5-1109-405A-B1DC-E486553E87FF}" id="{16E956A4-63A0-4010-8E43-6E7B0E0A4623}">
    <text>Enter SecurityPassword for Node</text>
  </threadedComment>
  <threadedComment ref="C4" dT="2021-06-03T11:16:57.73" personId="{AE0705C5-1109-405A-B1DC-E486553E87FF}" id="{D8CD1011-A4D3-48B0-90BD-2D612CD4F887}">
    <text>Enter a nodename to create</text>
  </threadedComment>
  <threadedComment ref="E4" dT="2021-06-03T11:18:14.55" personId="{AE0705C5-1109-405A-B1DC-E486553E87FF}" id="{0BE5B33E-049C-4CA2-B392-692EF02DFFCA}">
    <text>Enter IP for Node</text>
  </threadedComment>
  <threadedComment ref="F4" dT="2021-06-03T11:18:26.86" personId="{AE0705C5-1109-405A-B1DC-E486553E87FF}" id="{32AEAAAE-45F4-47FA-BFD4-B6ADABAEC9FB}">
    <text>Enter SecurityPass for Node</text>
  </threadedComment>
  <threadedComment ref="I4" dT="2021-06-03T11:18:46.64" personId="{AE0705C5-1109-405A-B1DC-E486553E87FF}" id="{7E83E302-DB21-4946-B13B-ABC3167FC233}">
    <text>Enter SecurityPassword for Node</text>
  </threadedComment>
  <threadedComment ref="C5" dT="2021-06-03T10:10:36.59" personId="{AE0705C5-1109-405A-B1DC-E486553E87FF}" id="{0247A852-D5D6-4F63-ACBF-8FB8F5CFB76C}">
    <text>Enter nodename based on nodetype present in TOL</text>
  </threadedComment>
  <threadedComment ref="C6" dT="2021-06-03T10:10:36.59" personId="{AE0705C5-1109-405A-B1DC-E486553E87FF}" id="{FE625D9A-D63F-42EB-9FD1-75D402B12FDC}">
    <text>Enter nodename based on nodetype present in TOL</text>
  </threadedComment>
  <threadedComment ref="C7" dT="2021-06-03T10:10:36.59" personId="{AE0705C5-1109-405A-B1DC-E486553E87FF}" id="{5BC27FD9-900E-4628-8E16-54423A3B54C8}">
    <text>Enter nodename based on nodetype present in TOL</text>
  </threadedComment>
  <threadedComment ref="C8" dT="2021-06-03T11:17:02.41" personId="{AE0705C5-1109-405A-B1DC-E486553E87FF}" id="{ED20F038-7FFE-44E6-99FB-9839B66F0715}">
    <text>Enter a nodename to create</text>
  </threadedComment>
  <threadedComment ref="E8" dT="2021-06-03T11:18:14.55" personId="{AE0705C5-1109-405A-B1DC-E486553E87FF}" id="{611D211B-5B8B-4B31-87C5-3279845E9325}">
    <text>Enter IP for Node</text>
  </threadedComment>
  <threadedComment ref="F8" dT="2021-06-03T11:18:26.86" personId="{AE0705C5-1109-405A-B1DC-E486553E87FF}" id="{1290C2DA-9D9B-4162-870F-A94898BBF99A}">
    <text>Enter SecurityPass for Node</text>
  </threadedComment>
  <threadedComment ref="I8" dT="2021-06-03T11:18:46.64" personId="{AE0705C5-1109-405A-B1DC-E486553E87FF}" id="{9FB26F66-CBDC-4D4D-B6B1-6543A4EFBDEE}">
    <text>Enter SecurityPassword for Node</text>
  </threadedComment>
  <threadedComment ref="C9" dT="2021-06-03T11:17:06.02" personId="{AE0705C5-1109-405A-B1DC-E486553E87FF}" id="{D9A7026D-5C2D-4594-810F-FBDCBF4533CD}">
    <text>Enter a nodename to create</text>
  </threadedComment>
  <threadedComment ref="E9" dT="2021-06-03T11:18:14.55" personId="{AE0705C5-1109-405A-B1DC-E486553E87FF}" id="{E83DF43F-3D96-492E-B281-47034846754C}">
    <text>Enter IP for Node</text>
  </threadedComment>
  <threadedComment ref="F9" dT="2021-06-03T11:18:26.86" personId="{AE0705C5-1109-405A-B1DC-E486553E87FF}" id="{353E4309-0040-4CCD-B68F-1F18585DF3EC}">
    <text>Enter SecurityPass for Node</text>
  </threadedComment>
  <threadedComment ref="I9" dT="2021-06-03T11:18:46.64" personId="{AE0705C5-1109-405A-B1DC-E486553E87FF}" id="{BA616143-0BD3-465E-9794-0ECC4FF0DA7D}">
    <text>Enter SecurityPassword for Node</text>
  </threadedComment>
  <threadedComment ref="C10" dT="2021-06-03T10:10:36.59" personId="{AE0705C5-1109-405A-B1DC-E486553E87FF}" id="{AB66F3F4-00B1-47AD-8ACF-6D7D694EF2B8}">
    <text>Enter nodename based on nodetype present in TOL</text>
  </threadedComment>
  <threadedComment ref="C11" dT="2021-06-03T10:10:36.59" personId="{AE0705C5-1109-405A-B1DC-E486553E87FF}" id="{651507CA-8B9A-460C-9453-9EB68ED84857}">
    <text>Enter nodename based on nodetype present in TOL</text>
  </threadedComment>
  <threadedComment ref="C12" dT="2021-06-03T10:10:36.59" personId="{AE0705C5-1109-405A-B1DC-E486553E87FF}" id="{F5F1464D-DD85-461D-AB5D-FA7DB95BBE2A}">
    <text>Enter nodename based on nodetype present in TOL</text>
  </threadedComment>
  <threadedComment ref="J12" dT="2021-06-03T10:10:36.59" personId="{AE0705C5-1109-405A-B1DC-E486553E87FF}" id="{575BDED3-7CD4-49F6-8264-1BBEF25B02CF}">
    <text>Enter nodename based on nodetype present in TOL</text>
  </threadedComment>
  <threadedComment ref="K12" dT="2023-05-11T06:06:51.99" personId="{2F7453FD-D284-42D3-9842-226A7BDB3407}" id="{01D44EBD-8194-47D1-9101-CC751C2DD17C}">
    <text>Enter a  Name For the Link, Without any space in between two wards</text>
  </threadedComment>
  <threadedComment ref="C13" dT="2021-06-03T10:10:36.59" personId="{AE0705C5-1109-405A-B1DC-E486553E87FF}" id="{B433431F-E54D-403B-925F-6BB37167ED48}">
    <text>Enter nodename based on nodetype present in TOL</text>
  </threadedComment>
  <threadedComment ref="J13" dT="2021-06-03T10:10:36.59" personId="{AE0705C5-1109-405A-B1DC-E486553E87FF}" id="{52C92739-F3FD-4282-B37A-D182DFA66303}">
    <text>Enter nodename based on nodetype present in TOL</text>
  </threadedComment>
  <threadedComment ref="K13" dT="2023-05-11T06:07:18.85" personId="{2F7453FD-D284-42D3-9842-226A7BDB3407}" id="{B68492D8-8187-4E3F-A18F-AF1D45DAAB4F}">
    <text>Enter the same Link name as above</text>
  </threadedComment>
  <threadedComment ref="C14" dT="2021-06-03T10:10:36.59" personId="{AE0705C5-1109-405A-B1DC-E486553E87FF}" id="{012FD645-4975-4D54-B653-01FE169C3125}">
    <text>Enter nodename based on nodetype present in TOL</text>
  </threadedComment>
  <threadedComment ref="J14" dT="2021-06-03T10:10:36.59" personId="{AE0705C5-1109-405A-B1DC-E486553E87FF}" id="{83102195-8D98-4045-88DD-BA1E80754EB3}">
    <text>Enter nodename based on nodetype present in TOL</text>
  </threadedComment>
</ThreadedComments>
</file>

<file path=xl/threadedComments/threadedComment8.xml><?xml version="1.0" encoding="utf-8"?>
<ThreadedComments xmlns="http://schemas.microsoft.com/office/spreadsheetml/2018/threadedcomments" xmlns:x="http://schemas.openxmlformats.org/spreadsheetml/2006/main">
  <threadedComment ref="C2" dT="2021-06-03T10:10:36.59" personId="{AE0705C5-1109-405A-B1DC-E486553E87FF}" id="{4A29FF1E-7476-4077-96A0-0B441E0E00A2}">
    <text>Enter nodename based on nodetype present in TOL</text>
  </threadedComment>
  <threadedComment ref="I2" dT="2021-06-03T10:54:07.72" personId="{AE0705C5-1109-405A-B1DC-E486553E87FF}" id="{F22A7639-8E2E-4901-A384-689D3CD42DD4}">
    <text>Give a report-name for NHC report</text>
  </threadedComment>
  <threadedComment ref="J2" dT="2021-06-03T10:55:08.03" personId="{AE0705C5-1109-405A-B1DC-E486553E87FF}" id="{561D883F-DF28-4211-9730-1D7D248B3355}">
    <text>Give a Category for NHC report(PRE_INSTALL OR PRE_UPGRADE OR POST_UPGRADE )</text>
  </threadedComment>
  <threadedComment ref="I3" dT="2021-06-03T10:54:49.90" personId="{AE0705C5-1109-405A-B1DC-E486553E87FF}" id="{E5952FC8-066D-4F50-97C9-C3B9DB6B9DDB}">
    <text>Give Reportname as in rowno.2</text>
  </threadedComment>
  <threadedComment ref="D4" dT="2021-07-30T12:08:11.16" personId="{7D638B0B-D919-4B27-BA65-A1E153F86EA0}" id="{479FDF30-516E-4703-8CB0-96343AC6F4BE}">
    <text>This is dependent on NHC-4.11. Report and profile name should be same</text>
  </threadedComment>
  <threadedComment ref="D6" dT="2021-07-30T12:07:20.49" personId="{7D638B0B-D919-4B27-BA65-A1E153F86EA0}" id="{4BBFC5A2-6FBE-440E-ABF0-50678F2A2613}">
    <text>This is dependednt on NHC-4.9. Profile name should be same</text>
  </threadedComment>
  <threadedComment ref="K9" dT="2021-06-03T11:44:53.99" personId="{AE0705C5-1109-405A-B1DC-E486553E87FF}" id="{AC3BC586-8778-44B2-BB7C-6FA4C2C39DAF}">
    <text>Enter LMS Ip</text>
  </threadedComment>
  <threadedComment ref="L9" dT="2021-06-03T11:45:10.15" personId="{AE0705C5-1109-405A-B1DC-E486553E87FF}" id="{F49E0B90-5AF2-4AD6-A66D-C922EAD45BD6}">
    <text>Enter root user of LMS IP</text>
  </threadedComment>
  <threadedComment ref="M9" dT="2021-06-03T11:45:21.18" personId="{AE0705C5-1109-405A-B1DC-E486553E87FF}" id="{3ACAEC6C-5A11-4C45-9181-A5092E63A83E}">
    <text>Enter Root Password for lms ip</text>
  </threadedComment>
  <threadedComment ref="O9" dT="2021-06-03T11:46:02.33" personId="{AE0705C5-1109-405A-B1DC-E486553E87FF}" id="{81002A97-E0C3-412A-B716-C4BDF6D3800E}">
    <text>Enter a scripting blade-name that is present in LMS</text>
  </threadedComment>
  <threadedComment ref="P9" dT="2021-06-03T11:46:43.18" personId="{AE0705C5-1109-405A-B1DC-E486553E87FF}" id="{D0AD370A-84B2-4E78-8739-54059DA09A13}">
    <text>Enter litp-admin user for provided Bladename(scriptinguser)</text>
  </threadedComment>
  <threadedComment ref="Q9" dT="2021-06-03T11:47:03.07" personId="{AE0705C5-1109-405A-B1DC-E486553E87FF}" id="{F94B8A8E-CE2C-41C9-9167-F29656881D26}">
    <text>Enter Bladepassword for BladeUsername</text>
  </threadedComment>
  <threadedComment ref="R9" dT="2021-06-03T11:47:33.37" personId="{AE0705C5-1109-405A-B1DC-E486553E87FF}" id="{02440016-2186-420B-85A0-3FDF5022470B}">
    <text>Enter Blade root password for BladeUserName</text>
  </threadedComment>
  <threadedComment ref="C10" dT="2021-06-03T10:10:36.59" personId="{AE0705C5-1109-405A-B1DC-E486553E87FF}" id="{E0E71BA9-9521-4FB6-A181-A866FCE92475}">
    <text>Enter nodename based on nodetype present in TOL</text>
  </threadedComment>
  <threadedComment ref="C11" dT="2021-06-03T10:10:36.59" personId="{AE0705C5-1109-405A-B1DC-E486553E87FF}" id="{034D9232-6BFC-4FDD-A3DF-86DD6B9FF9D7}">
    <text>Enter nodename based on nodetype present in TOL</text>
  </threadedComment>
  <threadedComment ref="C12" dT="2021-06-03T10:10:36.59" personId="{AE0705C5-1109-405A-B1DC-E486553E87FF}" id="{7AC36F38-E8A8-4778-B064-B9E7A76904B5}">
    <text>Enter nodename based on nodetype present in TOL</text>
  </threadedComment>
  <threadedComment ref="C13" dT="2021-06-03T10:10:36.59" personId="{AE0705C5-1109-405A-B1DC-E486553E87FF}" id="{76D6F2F7-D8F4-4D38-84F5-51B090425D39}">
    <text>Enter nodename based on nodetype present in TOL</text>
  </threadedComment>
</ThreadedComments>
</file>

<file path=xl/threadedComments/threadedComment9.xml><?xml version="1.0" encoding="utf-8"?>
<ThreadedComments xmlns="http://schemas.microsoft.com/office/spreadsheetml/2018/threadedcomments" xmlns:x="http://schemas.openxmlformats.org/spreadsheetml/2006/main">
  <threadedComment ref="C2" dT="2021-06-03T10:10:56.11" personId="{AE0705C5-1109-405A-B1DC-E486553E87FF}" id="{99E8CB28-51BE-405A-B1CE-D8758B8DC88F}">
    <text>Enter nodename based on nodetype present in TOL</text>
  </threadedComment>
  <threadedComment ref="C3" dT="2021-06-03T10:10:56.11" personId="{AE0705C5-1109-405A-B1DC-E486553E87FF}" id="{2AB7E8AA-6A1D-4A63-B3A5-123B3779DCA2}">
    <text>Enter nodename based on nodetype present in TOL</text>
  </threadedComment>
  <threadedComment ref="C4" dT="2021-06-03T10:10:56.11" personId="{AE0705C5-1109-405A-B1DC-E486553E87FF}" id="{048CA123-C90D-4640-B976-919956730649}">
    <text>Enter nodename based on nodetype present in TOL</text>
  </threadedComment>
  <threadedComment ref="C5" dT="2021-06-03T10:10:56.11" personId="{AE0705C5-1109-405A-B1DC-E486553E87FF}" id="{942D4517-FA6B-40EE-A25A-BF999DED2F5B}">
    <text>Enter nodename based on nodetype present in TOL</text>
  </threadedComment>
  <threadedComment ref="C6" dT="2021-06-03T10:10:56.11" personId="{AE0705C5-1109-405A-B1DC-E486553E87FF}" id="{536682E5-7E8C-436D-A3BE-178469D979F4}">
    <text>Enter nodename based on nodetype present in TOL</text>
  </threadedComment>
  <threadedComment ref="C7" dT="2021-06-03T10:10:56.11" personId="{AE0705C5-1109-405A-B1DC-E486553E87FF}" id="{A2AC58E7-0E50-482E-ABC1-DDE806DCA48D}">
    <text>Enter nodename based on nodetype present in TOL</text>
  </threadedComment>
  <threadedComment ref="C8" dT="2021-06-03T10:10:56.11" personId="{AE0705C5-1109-405A-B1DC-E486553E87FF}" id="{CA9EFA68-164B-4335-A0C4-D56CA302F994}">
    <text>Enter nodename based on nodetype present in TOL</text>
  </threadedComment>
  <threadedComment ref="C9" dT="2021-06-03T10:10:56.11" personId="{AE0705C5-1109-405A-B1DC-E486553E87FF}" id="{01483F8F-6DFD-4127-85E1-4650628CD249}">
    <text>Enter nodename based on nodetype present in TOL</text>
  </threadedComment>
  <threadedComment ref="C10" dT="2021-06-03T10:10:56.11" personId="{AE0705C5-1109-405A-B1DC-E486553E87FF}" id="{91EBCBA0-B4F7-4C08-B032-E6803B141828}">
    <text>Enter nodename based on nodetype present in TOL</text>
  </threadedComment>
  <threadedComment ref="E10" dT="2022-11-09T06:05:20.88" personId="{2F7453FD-D284-42D3-9842-226A7BDB3407}" id="{A0E703EC-EA33-4CF9-8DF3-955716C275AB}">
    <text>Please create one user with operator role in system(if not already exist) and provide username here</text>
  </threadedComment>
  <threadedComment ref="F10" dT="2022-11-09T06:05:43.48" personId="{2F7453FD-D284-42D3-9842-226A7BDB3407}" id="{BFFA3BAC-9582-4961-8B46-2846EF3D55C4}">
    <text>Please create one user with operator role in system(if not already exist) and provide Password here</text>
  </threadedComment>
</ThreadedComments>
</file>

<file path=xl/threadedComments/threadedComment10.xml><?xml version="1.0" encoding="utf-8"?>
<ThreadedComments xmlns="http://schemas.microsoft.com/office/spreadsheetml/2018/threadedcomments" xmlns:x="http://schemas.openxmlformats.org/spreadsheetml/2006/main">
  <threadedComment ref="C2" dT="2021-06-03T10:10:56.11" personId="{AE0705C5-1109-405A-B1DC-E486553E87FF}" id="{FF1E7BBA-28B3-46A3-B0B9-ACBBF1D6E9D5}">
    <text>Enter nodename based on nodetype present in TOL</text>
  </threadedComment>
  <threadedComment ref="C3" dT="2022-03-09T05:54:54.57" personId="{AE0705C5-1109-405A-B1DC-E486553E87FF}" id="{1B5D06E9-EA77-4E1C-8D24-E17C90AFCD9E}">
    <text>Enter nodename based on nodetype present in TOL</text>
  </threadedComment>
</ThreadedComments>
</file>

<file path=xl/threadedComments/threadedComment11.xml><?xml version="1.0" encoding="utf-8"?>
<ThreadedComments xmlns="http://schemas.microsoft.com/office/spreadsheetml/2018/threadedcomments" xmlns:x="http://schemas.openxmlformats.org/spreadsheetml/2006/main">
  <threadedComment ref="C2" dT="2021-06-03T11:42:31.94" personId="{AE0705C5-1109-405A-B1DC-E486553E87FF}" id="{D51B933B-DD04-4FA1-B37C-BA6ABCA0497D}">
    <text>Enter a nodetype to modify parameters</text>
  </threadedComment>
  <threadedComment ref="D2" dT="2021-06-03T11:42:47.85" personId="{AE0705C5-1109-405A-B1DC-E486553E87FF}" id="{B81EC293-0B62-44AC-935A-3F742E0D159C}">
    <text>Enter node based on NodeType</text>
  </threadedComment>
  <threadedComment ref="E2" dT="2021-06-03T11:43:09.37" personId="{AE0705C5-1109-405A-B1DC-E486553E87FF}" id="{DF02200F-4C97-4186-88A8-5AAAEA8C66EE}">
    <text>Enter value you want as parameter value</text>
  </threadedComment>
  <threadedComment ref="F2" dT="2021-06-03T11:43:24.60" personId="{AE0705C5-1109-405A-B1DC-E486553E87FF}" id="{5B970CD6-F281-4EB5-B6E6-3673B4DF90A4}">
    <text>Enter a Parameter value for Testing</text>
  </threadedComment>
  <threadedComment ref="C3" dT="2021-06-03T11:42:31.94" personId="{AE0705C5-1109-405A-B1DC-E486553E87FF}" id="{A8B6144D-A72A-4B2C-954A-34604327F23A}">
    <text>Enter a nodetype to modify parameters</text>
  </threadedComment>
  <threadedComment ref="D3" dT="2021-06-03T11:42:47.85" personId="{AE0705C5-1109-405A-B1DC-E486553E87FF}" id="{30C2CF6C-7BE3-4739-AADB-AE3978B92FC5}">
    <text>Enter node based on NodeType</text>
  </threadedComment>
  <threadedComment ref="E3" dT="2021-06-03T11:43:09.37" personId="{AE0705C5-1109-405A-B1DC-E486553E87FF}" id="{6C91F275-352F-40FA-9540-F2CE3F92223B}">
    <text>Enter value you want as parameter value</text>
  </threadedComment>
  <threadedComment ref="F3" dT="2021-06-03T11:43:24.60" personId="{AE0705C5-1109-405A-B1DC-E486553E87FF}" id="{531440D2-5930-4390-B099-04C8F96C693E}">
    <text>Enter a Parameter value for Testing</text>
  </threadedComment>
  <threadedComment ref="C4" dT="2021-06-03T11:42:31.94" personId="{AE0705C5-1109-405A-B1DC-E486553E87FF}" id="{FEC0C8E3-5FE2-4900-9A8F-B6BEF56B4C0F}">
    <text>Enter a nodetype to modify parameters</text>
  </threadedComment>
  <threadedComment ref="D4" dT="2021-06-03T11:42:47.85" personId="{AE0705C5-1109-405A-B1DC-E486553E87FF}" id="{31AFDA01-8986-4E88-9D0E-2FAADAF2121F}">
    <text>Enter node based on NodeType</text>
  </threadedComment>
  <threadedComment ref="E4" dT="2021-06-03T11:43:09.37" personId="{AE0705C5-1109-405A-B1DC-E486553E87FF}" id="{C8903799-3BBD-4014-BFC4-BFEFE4A746E8}">
    <text>Enter value you want as parameter value</text>
  </threadedComment>
  <threadedComment ref="F4" dT="2021-06-03T11:43:24.60" personId="{AE0705C5-1109-405A-B1DC-E486553E87FF}" id="{29646F8C-B996-4649-9B82-A7038696053C}">
    <text>Enter a Parameter value for Testing</text>
  </threadedComment>
  <threadedComment ref="C5" dT="2021-06-03T11:42:31.94" personId="{AE0705C5-1109-405A-B1DC-E486553E87FF}" id="{D4EA15E6-7CD4-4C7B-A00D-6FBB5B7CFE87}">
    <text>Enter a nodetype to modify parameters</text>
  </threadedComment>
  <threadedComment ref="D5" dT="2021-06-03T11:42:47.85" personId="{AE0705C5-1109-405A-B1DC-E486553E87FF}" id="{DA6CA046-A623-4E8F-A793-EFF981BD0046}">
    <text>Enter node based on NodeType</text>
  </threadedComment>
  <threadedComment ref="E5" dT="2021-06-03T11:43:09.37" personId="{AE0705C5-1109-405A-B1DC-E486553E87FF}" id="{345C8C8D-AFF2-4D51-A007-95801C255B35}">
    <text>Enter value you want as parameter value</text>
  </threadedComment>
  <threadedComment ref="F5" dT="2021-06-03T11:43:24.60" personId="{AE0705C5-1109-405A-B1DC-E486553E87FF}" id="{C1EE097D-DCBF-4141-9831-289712D6DD0D}">
    <text>Enter a Parameter value for Testing</text>
  </threadedComment>
</ThreadedComments>
</file>

<file path=xl/threadedComments/threadedComment12.xml><?xml version="1.0" encoding="utf-8"?>
<ThreadedComments xmlns="http://schemas.microsoft.com/office/spreadsheetml/2018/threadedcomments" xmlns:x="http://schemas.openxmlformats.org/spreadsheetml/2006/main">
  <threadedComment ref="I9" dT="2021-12-14T05:49:40.37" personId="{2F7453FD-D284-42D3-9842-226A7BDB3407}" id="{2F6FA9DD-E2BD-4EF4-BBA4-4C6789A9A6BB}">
    <text>Please Download This two files(SimpleModule2-1.1.fmx and wait5n10-1.0.fmx) from FMX GAT Doc 2.1.4.Then Put it in Automation folder and give the file names in this cell.</text>
  </threadedComment>
</ThreadedComments>
</file>

<file path=xl/threadedComments/threadedComment13.xml><?xml version="1.0" encoding="utf-8"?>
<ThreadedComments xmlns="http://schemas.microsoft.com/office/spreadsheetml/2018/threadedcomments" xmlns:x="http://schemas.openxmlformats.org/spreadsheetml/2006/main">
  <threadedComment ref="C2" dT="2021-06-03T10:10:56.11" personId="{AE0705C5-1109-405A-B1DC-E486553E87FF}" id="{7E6C9870-5AF5-45A3-807C-2C4E90733B24}">
    <text>Enter nodename based on nodetype present in TOL</text>
  </threadedComment>
  <threadedComment ref="C3" dT="2021-06-03T10:10:56.11" personId="{AE0705C5-1109-405A-B1DC-E486553E87FF}" id="{1AA41594-E304-458C-B6F8-0CA00AA93D15}">
    <text>Enter nodename based on nodetype present in TOL</text>
  </threadedComment>
  <threadedComment ref="C4" dT="2021-06-03T10:10:56.11" personId="{AE0705C5-1109-405A-B1DC-E486553E87FF}" id="{1C552C74-31EC-495B-975D-5C0F69FA6FE4}">
    <text>Enter nodename based on nodetype present in TOL</text>
  </threadedComment>
  <threadedComment ref="C5" dT="2021-06-03T10:10:56.11" personId="{AE0705C5-1109-405A-B1DC-E486553E87FF}" id="{78CE42E2-6EBA-4F1B-9E25-62668299E84B}">
    <text>Enter nodename based on nodetype present in TOL</text>
  </threadedComment>
</ThreadedComments>
</file>

<file path=xl/threadedComments/threadedComment14.xml><?xml version="1.0" encoding="utf-8"?>
<ThreadedComments xmlns="http://schemas.microsoft.com/office/spreadsheetml/2018/threadedcomments" xmlns:x="http://schemas.openxmlformats.org/spreadsheetml/2006/main">
  <threadedComment ref="D2" dT="2021-06-03T10:19:53.23" personId="{AE0705C5-1109-405A-B1DC-E486553E87FF}" id="{8187736C-D5F7-4F5D-8246-0FDF6A52EEE5}">
    <text>Do not change the password as it format specific</text>
  </threadedComment>
  <threadedComment ref="E2" dT="2021-06-03T10:19:53.23" personId="{AE0705C5-1109-405A-B1DC-E486553E87FF}" id="{41598897-6744-441D-9270-D890DC7BA495}">
    <text>Do not change the password as it format specific</text>
  </threadedComment>
  <threadedComment ref="F2" dT="2021-06-03T10:19:53.23" personId="{AE0705C5-1109-405A-B1DC-E486553E87FF}" id="{940D3E9C-087A-498C-90CE-23F785045EEA}">
    <text>Do not change the password as it format specific</text>
  </threadedComment>
  <threadedComment ref="G2" dT="2021-06-03T10:21:05.54" personId="{AE0705C5-1109-405A-B1DC-E486553E87FF}" id="{EB74F845-E17D-44BF-8935-145827E1B2CD}">
    <text>Give a username to create</text>
  </threadedComment>
  <threadedComment ref="D3" dT="2021-06-03T10:19:53.23" personId="{AE0705C5-1109-405A-B1DC-E486553E87FF}" id="{9CD7798D-D7C0-49E0-9DC3-FF9F3E9EE57D}">
    <text>Do not change the password as it format specific</text>
  </threadedComment>
  <threadedComment ref="E3" dT="2021-06-03T10:19:53.23" personId="{AE0705C5-1109-405A-B1DC-E486553E87FF}" id="{357EFE4B-F271-408D-A574-A1064D7BA878}">
    <text>Do not change the password as it format specific</text>
  </threadedComment>
  <threadedComment ref="F3" dT="2021-06-03T10:19:53.23" personId="{AE0705C5-1109-405A-B1DC-E486553E87FF}" id="{4302CDCD-EDC6-42F4-8676-676A6766EB74}">
    <text>Do not change the password as it format specific</text>
  </threadedComment>
  <threadedComment ref="G3" dT="2021-06-03T10:21:32.52" personId="{AE0705C5-1109-405A-B1DC-E486553E87FF}" id="{7F99DAEB-BB01-4F64-92A6-BA3CB86207F5}">
    <text>Give the same username as in Rowno.4</text>
  </threadedComment>
  <threadedComment ref="G4" dT="2021-06-03T10:21:39.42" personId="{AE0705C5-1109-405A-B1DC-E486553E87FF}" id="{29772D99-23D5-4E21-9402-6D86F33A0A87}">
    <text>Give the same username as in Rowno.4</text>
  </threadedComment>
  <threadedComment ref="I4" dT="2021-06-03T11:01:09.14" personId="{AE0705C5-1109-405A-B1DC-E486553E87FF}" id="{859A3364-2E22-40F6-BBAF-9B2AC95DD839}">
    <text>Enter a email needed during creating User</text>
  </threadedComment>
  <threadedComment ref="D5" dT="2021-06-03T10:19:53.23" personId="{AE0705C5-1109-405A-B1DC-E486553E87FF}" id="{FC2FF899-E8B2-4389-9F5A-0B0B1D83B3F6}">
    <text>Do not change the password as it format specific</text>
  </threadedComment>
  <threadedComment ref="G5" dT="2021-06-03T10:21:42.88" personId="{AE0705C5-1109-405A-B1DC-E486553E87FF}" id="{31AAC412-823D-4DBE-8863-197DEF0BD114}">
    <text>Give the same username as in Rowno.4</text>
  </threadedComment>
  <threadedComment ref="D6" dT="2021-06-03T10:19:53.23" personId="{AE0705C5-1109-405A-B1DC-E486553E87FF}" id="{844C49F3-4741-41DD-8F76-208A08E75885}">
    <text>Do not change the password as it format specific</text>
  </threadedComment>
  <threadedComment ref="G6" dT="2021-06-03T10:21:46.09" personId="{AE0705C5-1109-405A-B1DC-E486553E87FF}" id="{614F31D9-A9ED-4D76-8F79-45B3AC01EFB4}">
    <text>Give the same username as in Rowno.4</text>
  </threadedComment>
  <threadedComment ref="J7" dT="2021-06-03T10:10:36.59" personId="{AE0705C5-1109-405A-B1DC-E486553E87FF}" id="{E7EE64AE-00B7-4776-B0FE-96198769C25B}">
    <text>Enter nodename to modify a target Group</text>
  </threadedComment>
  <threadedComment ref="J8" dT="2021-06-03T10:10:36.59" personId="{AE0705C5-1109-405A-B1DC-E486553E87FF}" id="{3129E7B4-2270-4220-A020-F276E69372B8}">
    <text>Enter nodename to create a save search</text>
  </threadedComment>
  <threadedComment ref="J9" dT="2021-06-03T10:22:22.86" personId="{AE0705C5-1109-405A-B1DC-E486553E87FF}" id="{CD62327B-839D-47BA-BC07-B9E0DDB9F4A3}">
    <text>Give a role-name to create a role</text>
  </threadedComment>
  <threadedComment ref="J10" dT="2021-06-03T10:22:43.69" personId="{AE0705C5-1109-405A-B1DC-E486553E87FF}" id="{056E2D56-3CAC-48FA-8806-731D2F34051B}">
    <text>Give the same rolename as in Rowno.9</text>
  </threadedComment>
  <threadedComment ref="G11" dT="2021-06-03T10:21:49.47" personId="{AE0705C5-1109-405A-B1DC-E486553E87FF}" id="{F4935270-745A-4DBF-AF3C-302129DA6E29}">
    <text>Give the same username as in Rowno.4</text>
  </threadedComment>
  <threadedComment ref="G12" dT="2021-06-03T10:21:52.58" personId="{AE0705C5-1109-405A-B1DC-E486553E87FF}" id="{A5A74EA7-5585-41D2-BA04-2DB3897C6F8B}">
    <text>Give the same username as in Rowno.4</text>
  </threadedComment>
  <threadedComment ref="J13" dT="2021-06-03T10:22:52.52" personId="{AE0705C5-1109-405A-B1DC-E486553E87FF}" id="{C616CEF5-41E0-4352-9C79-9AE757499ED0}">
    <text>Give the same username as in Rowno.9</text>
  </threadedComment>
  <threadedComment ref="G14" dT="2021-06-03T10:22:02.12" personId="{AE0705C5-1109-405A-B1DC-E486553E87FF}" id="{88116744-1623-41A4-B08D-292137F940B4}">
    <text>Give the same username as in Rowno.4</text>
  </threadedComment>
  <threadedComment ref="I14" dT="2021-06-03T11:01:34.87" personId="{AE0705C5-1109-405A-B1DC-E486553E87FF}" id="{75AAAA27-2BFB-4745-926D-E904B8C35C56}">
    <text>Enter a email for editing user</text>
  </threadedComment>
  <threadedComment ref="J14" dT="2021-06-07T09:10:36.65" personId="{AE0705C5-1109-405A-B1DC-E486553E87FF}" id="{5359399F-634A-4A97-B482-B828B26B4E20}">
    <text>Enter any desciption for user</text>
  </threadedComment>
  <threadedComment ref="H15" dT="2021-06-03T10:22:02.12" personId="{AE0705C5-1109-405A-B1DC-E486553E87FF}" id="{0CD70928-260D-4E94-9003-A9C93136EA50}">
    <text>Give the same username as in Rowno.4</text>
  </threadedComment>
</ThreadedComments>
</file>

<file path=xl/threadedComments/threadedComment15.xml><?xml version="1.0" encoding="utf-8"?>
<ThreadedComments xmlns="http://schemas.microsoft.com/office/spreadsheetml/2018/threadedcomments" xmlns:x="http://schemas.openxmlformats.org/spreadsheetml/2006/main">
  <threadedComment ref="C2" dT="2021-06-03T11:38:16.93" personId="{AE0705C5-1109-405A-B1DC-E486553E87FF}" id="{D5726B7A-768E-4B03-90CB-9A5F07772DE7}">
    <text>Profile name for parameter</text>
  </threadedComment>
</ThreadedComments>
</file>

<file path=xl/threadedComments/threadedComment16.xml><?xml version="1.0" encoding="utf-8"?>
<ThreadedComments xmlns="http://schemas.microsoft.com/office/spreadsheetml/2018/threadedcomments" xmlns:x="http://schemas.openxmlformats.org/spreadsheetml/2006/main">
  <threadedComment ref="C2" dT="2021-06-03T10:12:43.69" personId="{AE0705C5-1109-405A-B1DC-E486553E87FF}" id="{EB4F2968-5B5D-4E10-A3F3-223B3D3325D9}">
    <text>Enter a nodename you want to create</text>
  </threadedComment>
  <threadedComment ref="D2" dT="2021-06-03T10:14:55.94" personId="{AE0705C5-1109-405A-B1DC-E486553E87FF}" id="{B9C41ED4-21EB-421D-844A-DF276122D621}">
    <text>NE type based on Node</text>
  </threadedComment>
  <threadedComment ref="E2" dT="2021-06-03T10:15:15.12" personId="{AE0705C5-1109-405A-B1DC-E486553E87FF}" id="{4294B05D-E81A-4122-B822-954A11D389F8}">
    <text>Platfromtype based on Node</text>
  </threadedComment>
  <threadedComment ref="F2" dT="2021-06-03T10:15:25.48" personId="{AE0705C5-1109-405A-B1DC-E486553E87FF}" id="{068D8A10-82B6-47A9-AEC8-C016A6C34DA0}">
    <text>Prefix based on Node</text>
  </threadedComment>
  <threadedComment ref="G2" dT="2021-06-03T10:15:44.05" personId="{AE0705C5-1109-405A-B1DC-E486553E87FF}" id="{1474D761-D030-4D65-8167-C55D7B2BB0CA}">
    <text>Namespace based on Node</text>
  </threadedComment>
  <threadedComment ref="H2" dT="2021-06-03T10:15:53.40" personId="{AE0705C5-1109-405A-B1DC-E486553E87FF}" id="{EA656300-4FF9-493C-A13E-D5D3FEFD47FB}">
    <text>Node Version based on Node</text>
  </threadedComment>
  <threadedComment ref="I2" dT="2021-06-03T10:16:12.66" personId="{AE0705C5-1109-405A-B1DC-E486553E87FF}" id="{857FEBAB-EBFC-4559-B8DF-8E190562522F}">
    <text>Connectivity-Info based on Node</text>
  </threadedComment>
  <threadedComment ref="J2" dT="2021-06-03T10:16:21.48" personId="{AE0705C5-1109-405A-B1DC-E486553E87FF}" id="{D17638FB-27D7-4278-B403-88B498C186C2}">
    <text>IP of Node</text>
  </threadedComment>
  <threadedComment ref="K2" dT="2021-06-03T10:16:39.11" personId="{AE0705C5-1109-405A-B1DC-E486553E87FF}" id="{2DD675FD-E18D-4F28-A557-ABE947791849}">
    <text>Port of Node</text>
  </threadedComment>
  <threadedComment ref="L2" dT="2021-06-03T10:16:54.82" personId="{AE0705C5-1109-405A-B1DC-E486553E87FF}" id="{20C40D21-4BC2-4243-94BA-97DF74A26933}">
    <text>Namespace based on Node</text>
  </threadedComment>
  <threadedComment ref="M2" dT="2021-06-03T10:17:03.09" personId="{AE0705C5-1109-405A-B1DC-E486553E87FF}" id="{21DA252C-6876-4728-82FE-D4B5DEE84D3E}">
    <text>Version based on Node</text>
  </threadedComment>
  <threadedComment ref="C3" dT="2021-06-03T10:10:36.59" personId="{AE0705C5-1109-405A-B1DC-E486553E87FF}" id="{C48C3129-8B13-47DD-BD38-E15537321779}">
    <text>Enter nodename based on nodetype present in TOL</text>
  </threadedComment>
  <threadedComment ref="D3" dT="2021-06-03T10:14:55.94" personId="{AE0705C5-1109-405A-B1DC-E486553E87FF}" id="{47108688-E185-42F0-B076-1EB75B8C8FA2}">
    <text>NE type based on Node</text>
  </threadedComment>
  <threadedComment ref="C4" dT="2021-06-03T10:10:36.59" personId="{AE0705C5-1109-405A-B1DC-E486553E87FF}" id="{02A3D1F5-6C57-4F63-AF6E-A5DD2023B05E}">
    <text>Enter nodename you want to delete</text>
  </threadedComment>
</ThreadedComments>
</file>

<file path=xl/threadedComments/threadedComment17.xml><?xml version="1.0" encoding="utf-8"?>
<ThreadedComments xmlns="http://schemas.microsoft.com/office/spreadsheetml/2018/threadedcomments" xmlns:x="http://schemas.openxmlformats.org/spreadsheetml/2006/main">
  <threadedComment ref="C2" dT="2021-08-11T09:00:12.81" personId="{AA43896B-736A-4A8D-B59D-746CD03248C3}" id="{B275FACB-C036-48FC-9A7D-924B336D877C}">
    <text>Use nodename other than used in 3.3.1</text>
  </threadedComment>
  <threadedComment ref="D2" dT="2021-06-03T10:28:06.84" personId="{AE0705C5-1109-405A-B1DC-E486553E87FF}" id="{6F68031C-5BF3-470F-A21B-71AACB9D2E6B}">
    <text>Enter a Subscription name to create a Statistical subcription</text>
  </threadedComment>
  <threadedComment ref="F2" dT="2021-06-03T10:45:18.93" personId="{AE0705C5-1109-405A-B1DC-E486553E87FF}" id="{F0702600-7DE6-4F83-A898-ED60193B5D7D}">
    <text>Enter a description name for subscription</text>
  </threadedComment>
  <threadedComment ref="G2" dT="2021-06-03T10:46:56.02" personId="{AE0705C5-1109-405A-B1DC-E486553E87FF}" id="{E0807F92-9B66-4D9E-9CCE-62A6A6A506BB}">
    <text>Give counter based on node for statistical subsription</text>
  </threadedComment>
  <threadedComment ref="D3" dT="2021-06-03T10:28:06.84" personId="{AE0705C5-1109-405A-B1DC-E486553E87FF}" id="{59CF29CC-3E53-4CE5-BBC0-0B4A414704ED}">
    <text>Enter a Subscription name to create a Statistical subcription</text>
  </threadedComment>
  <threadedComment ref="F3" dT="2021-06-03T10:47:19.71" personId="{AE0705C5-1109-405A-B1DC-E486553E87FF}" id="{21F380D0-429F-4082-AAE3-153A9D92E9E8}">
    <text>Enter a counter based on node to add on statistical subscription</text>
  </threadedComment>
  <threadedComment ref="G3" dT="2021-06-03T10:47:19.71" personId="{AE0705C5-1109-405A-B1DC-E486553E87FF}" id="{26ADEE01-E58A-46E9-ABB0-10F6ECE1CC09}">
    <text>Enter a counter based on node to add on statistical subscription</text>
  </threadedComment>
  <threadedComment ref="D4" dT="2021-06-03T10:28:06.84" personId="{AE0705C5-1109-405A-B1DC-E486553E87FF}" id="{F2F90562-08DC-4346-A15A-512577700CBD}">
    <text>Enter a Subscription name to create a Statistical subcription</text>
  </threadedComment>
  <threadedComment ref="D5" dT="2021-06-03T10:28:06.84" personId="{AE0705C5-1109-405A-B1DC-E486553E87FF}" id="{D46C95A6-9616-440A-A08F-9DBBDE97CC3A}">
    <text>Enter a Subscription name to create a Statistical subcription</text>
  </threadedComment>
  <threadedComment ref="E5" dT="2021-06-03T10:30:42.30" personId="{AE0705C5-1109-405A-B1DC-E486553E87FF}" id="{9E38CC58-A185-4065-A08F-AB82EF2C202E}">
    <text>Enter duplicate name - 
{subscription_name}+_Duplicate</text>
  </threadedComment>
  <threadedComment ref="F5" dT="2021-06-03T10:45:18.93" personId="{AE0705C5-1109-405A-B1DC-E486553E87FF}" id="{A78D1B6F-3A59-401A-AC83-B8BAB75F6B5F}">
    <text>Enter a description name for subscription</text>
  </threadedComment>
  <threadedComment ref="D6" dT="2021-06-03T10:28:06.84" personId="{AE0705C5-1109-405A-B1DC-E486553E87FF}" id="{979F8F3F-10A2-412D-9F3B-85C8EB24C14B}">
    <text>Enter a Subscription name to create a Statistical subcription</text>
  </threadedComment>
  <threadedComment ref="C7" dT="2021-08-11T09:00:12.81" personId="{AA43896B-736A-4A8D-B59D-746CD03248C3}" id="{00A68AA0-90DC-42FD-8A66-F5F52B2F307F}">
    <text>Use nodename other than used in 3.3.1</text>
  </threadedComment>
  <threadedComment ref="D7" dT="2021-06-07T09:11:48.12" personId="{AE0705C5-1109-405A-B1DC-E486553E87FF}" id="{892DE6BB-3395-4BF8-94EC-BDE617834B6E}">
    <text>Enter a subscription to create cell trace subscription</text>
  </threadedComment>
  <threadedComment ref="F7" dT="2021-06-03T10:45:18.93" personId="{AE0705C5-1109-405A-B1DC-E486553E87FF}" id="{4212BFF7-DC32-4AA6-9EA5-4A8CD3E5D551}">
    <text>Enter a description name for subscription</text>
  </threadedComment>
  <threadedComment ref="G7" dT="2021-06-03T10:47:51.33" personId="{AE0705C5-1109-405A-B1DC-E486553E87FF}" id="{E58098D9-FDF9-441B-9E26-6CB5B14E0C68}">
    <text>Enter a Counter based on node for cell trace subscription</text>
  </threadedComment>
  <threadedComment ref="C8" dT="2021-08-11T09:00:12.81" personId="{AA43896B-736A-4A8D-B59D-746CD03248C3}" id="{3B8DF40C-DEF8-4F4E-87E3-9534B06F0F49}">
    <text>Use nodename other than used in 3.3.1</text>
  </threadedComment>
  <threadedComment ref="D8" dT="2021-06-03T10:36:12.94" personId="{AE0705C5-1109-405A-B1DC-E486553E87FF}" id="{112F8196-98C7-472C-9D60-DFFCAC46B7A1}">
    <text>Enter a subscription name for criteria statistical</text>
  </threadedComment>
  <threadedComment ref="E8" dT="2021-06-03T10:42:33.02" personId="{AE0705C5-1109-405A-B1DC-E486553E87FF}" id="{686EEAEC-994B-4CFD-9CA0-C784F83140D5}">
    <text>Give a Save-search name to add on a statistical subscription(criteria)</text>
  </threadedComment>
  <threadedComment ref="F8" dT="2021-06-03T10:45:18.93" personId="{AE0705C5-1109-405A-B1DC-E486553E87FF}" id="{3980946A-FAA6-4695-89F0-0F596BC18283}">
    <text>Enter a description name for subscription</text>
  </threadedComment>
  <threadedComment ref="G8" dT="2021-06-03T10:48:15.45" personId="{AE0705C5-1109-405A-B1DC-E486553E87FF}" id="{983B6407-51DB-42EC-BFE3-26F0FD43416A}">
    <text>Enter a counter based on mme node to add on Statistical subcription(criteria)</text>
  </threadedComment>
  <threadedComment ref="D9" dT="2021-06-03T10:36:54.71" personId="{AE0705C5-1109-405A-B1DC-E486553E87FF}" id="{9CE3F3EC-C5B3-417F-BA3F-ECC74D976FC6}">
    <text>Enter a subscription name to create UE trace subscription</text>
  </threadedComment>
  <threadedComment ref="E9" dT="2021-06-03T10:44:19.76" personId="{AE0705C5-1109-405A-B1DC-E486553E87FF}" id="{6BBDE987-3DB8-492D-B9E1-404508D4F4EF}">
    <text>Enter a value for UE trace</text>
  </threadedComment>
  <threadedComment ref="F9" dT="2021-06-03T10:45:18.93" personId="{AE0705C5-1109-405A-B1DC-E486553E87FF}" id="{508E4431-380C-439F-936D-FA6BD83F108C}">
    <text>Enter a description name for subscription</text>
  </threadedComment>
  <threadedComment ref="D10" dT="2021-06-03T10:36:54.71" personId="{AE0705C5-1109-405A-B1DC-E486553E87FF}" id="{E7572FC2-B7FC-4945-B426-E262428FADC9}">
    <text>Enter a subscription name to create UE trace subscription</text>
  </threadedComment>
  <threadedComment ref="D11" dT="2021-06-03T10:36:54.71" personId="{AE0705C5-1109-405A-B1DC-E486553E87FF}" id="{DFE2682B-F940-4AA2-BDE9-321FBA3C3C1D}">
    <text>Enter a subscription name to create UE trace subscription</text>
  </threadedComment>
  <threadedComment ref="D12" dT="2021-06-03T10:36:54.71" personId="{AE0705C5-1109-405A-B1DC-E486553E87FF}" id="{CC9A1350-120A-4FA2-B9CB-63D53D48B6E8}">
    <text>Enter a subscription name to create UE trace subscription</text>
  </threadedComment>
  <threadedComment ref="E12" dT="2021-06-07T09:13:20.47" personId="{AE0705C5-1109-405A-B1DC-E486553E87FF}" id="{F71936AB-18AB-4415-979A-5C978B33A314}">
    <text>Enter a description for active UE subscription</text>
  </threadedComment>
  <threadedComment ref="D13" dT="2021-06-03T10:36:54.71" personId="{AE0705C5-1109-405A-B1DC-E486553E87FF}" id="{04A7819E-283C-4FD5-8912-575258B5FC45}">
    <text>Enter a subscription name to create UE trace subscription</text>
  </threadedComment>
  <threadedComment ref="E13" dT="2021-06-03T10:44:53.37" personId="{AE0705C5-1109-405A-B1DC-E486553E87FF}" id="{5CBBF954-B76D-49FA-ABAA-9504956F6D21}">
    <text>Enter duplicate name - 
{subscription_name}+_Duplicate</text>
  </threadedComment>
  <threadedComment ref="F13" dT="2021-06-03T10:45:18.93" personId="{AE0705C5-1109-405A-B1DC-E486553E87FF}" id="{83BBC743-D085-4967-8F70-6EAE56A1C278}">
    <text>Enter a description name for subscription</text>
  </threadedComment>
  <threadedComment ref="D14" dT="2021-06-03T10:36:54.71" personId="{AE0705C5-1109-405A-B1DC-E486553E87FF}" id="{EBF7611A-4BB6-47BE-AC70-8E8D729693DF}">
    <text>Enter a subscription name to create UE trace subscription</text>
  </threadedComment>
  <threadedComment ref="C15" dT="2021-08-11T09:00:12.81" personId="{AA43896B-736A-4A8D-B59D-746CD03248C3}" id="{2ADC3BC4-9648-4754-A884-B7A9892FDB51}">
    <text>Use nodename other than used in 3.3.1</text>
  </threadedComment>
  <threadedComment ref="D15" dT="2021-06-03T10:28:06.84" personId="{AE0705C5-1109-405A-B1DC-E486553E87FF}" id="{722E83AF-D72A-44E4-83C1-7C68C290AA77}">
    <text>Enter a Subscription name to create a Statistical subcription</text>
  </threadedComment>
  <threadedComment ref="E15" dT="2021-06-07T09:13:54.84" personId="{AE0705C5-1109-405A-B1DC-E486553E87FF}" id="{BB89258A-6037-4688-A7B1-69FC212057A2}">
    <text>Enter a description for active statistical subscription</text>
  </threadedComment>
  <threadedComment ref="D16" dT="2021-06-03T10:38:06.20" personId="{AE0705C5-1109-405A-B1DC-E486553E87FF}" id="{D1561C24-1BBF-4FC3-B7E4-91201AA2ADF9}">
    <text>Give a subscription name for which PM node process is available</text>
  </threadedComment>
  <threadedComment ref="C17" dT="2021-08-11T09:00:12.81" personId="{AA43896B-736A-4A8D-B59D-746CD03248C3}" id="{CF081396-B895-4D5A-94FC-2C23B6D2E3FE}">
    <text>Use nodename other than used in 3.3.1</text>
  </threadedComment>
  <threadedComment ref="D17" dT="2021-06-03T10:38:28.76" personId="{AE0705C5-1109-405A-B1DC-E486553E87FF}" id="{03ADEE74-DECA-4385-8D29-66788185EF30}">
    <text>Give a duplicate name for Duplicate counter check (statistical subscription)</text>
  </threadedComment>
  <threadedComment ref="F17" dT="2021-06-03T10:46:04.99" personId="{AE0705C5-1109-405A-B1DC-E486553E87FF}" id="{6E6120F5-A3C7-4B3C-9F0D-3C04B1A7C060}">
    <text>Enter a description for duplicate counter check</text>
  </threadedComment>
  <threadedComment ref="G17" dT="2023-02-23T05:03:51.25" personId="{2F7453FD-D284-42D3-9842-226A7BDB3407}" id="{50D8DE47-DCD2-42B1-A45C-99DE7BEE2CB1}">
    <text>Enter the counter name which is already used in some other active statistical subscription,for example use same counter used in- GUI-PM-00-3.3.3</text>
  </threadedComment>
  <threadedComment ref="C18" dT="2021-08-11T09:00:12.81" personId="{AA43896B-736A-4A8D-B59D-746CD03248C3}" id="{F374221A-5693-4FDD-9A0E-11C831D27AD2}">
    <text>Use nodename other than used in 3.3.1</text>
  </threadedComment>
  <threadedComment ref="F18" dT="2021-06-03T10:45:18.93" personId="{AE0705C5-1109-405A-B1DC-E486553E87FF}" id="{E76B754C-7FE4-415D-82F7-57B39F28FDB2}">
    <text>Enter a description name for subscription</text>
  </threadedComment>
  <threadedComment ref="C19" dT="2021-08-11T09:00:12.81" personId="{AA43896B-736A-4A8D-B59D-746CD03248C3}" id="{67546C6F-89AD-4D36-B64C-0C4E622864B3}">
    <text>Use nodename other than used in 3.3.1</text>
  </threadedComment>
  <threadedComment ref="F19" dT="2021-06-03T10:45:18.93" personId="{AE0705C5-1109-405A-B1DC-E486553E87FF}" id="{6BCA10B3-95D9-4308-834E-DF97354619A5}">
    <text>Enter a description name for subscription</text>
  </threadedComment>
  <threadedComment ref="F20" dT="2021-06-03T10:45:18.93" personId="{AE0705C5-1109-405A-B1DC-E486553E87FF}" id="{5904F421-8E9B-4FD0-BDDB-C9F5BA00277A}">
    <text>Enter a description name for subscription</text>
  </threadedComment>
  <threadedComment ref="C21" dT="2021-08-11T09:00:12.81" personId="{AA43896B-736A-4A8D-B59D-746CD03248C3}" id="{4DDBAF4E-5419-44C6-B859-D28CF9BB52B5}">
    <text>Use nodename other than used in 3.3.1</text>
  </threadedComment>
  <threadedComment ref="F21" dT="2021-06-03T10:45:18.93" personId="{AE0705C5-1109-405A-B1DC-E486553E87FF}" id="{64A6C2A9-79AA-40E8-80E3-D3B43C432898}">
    <text>Enter a description name for subscription</text>
  </threadedComment>
  <threadedComment ref="F22" dT="2021-06-03T10:45:18.93" personId="{AE0705C5-1109-405A-B1DC-E486553E87FF}" id="{8D2200DA-64D8-4D0C-975F-521EE42E658C}">
    <text>Enter a description name for subscription</text>
  </threadedComment>
  <threadedComment ref="C23" dT="2021-08-11T09:00:12.81" personId="{AA43896B-736A-4A8D-B59D-746CD03248C3}" id="{2AE3B41B-88EC-49AE-9D55-48B6D4E02B9C}">
    <text>Use nodename other than used in 3.3.1</text>
  </threadedComment>
  <threadedComment ref="F23" dT="2021-06-03T10:45:18.93" personId="{AE0705C5-1109-405A-B1DC-E486553E87FF}" id="{8D36A785-3419-4ECB-882A-E048EA7A97CA}">
    <text>Enter a description name for subscription</text>
  </threadedComment>
  <threadedComment ref="C24" dT="2021-08-11T09:00:12.81" personId="{AA43896B-736A-4A8D-B59D-746CD03248C3}" id="{1DBD756A-C99F-4342-BE0B-E0586AB0CA16}">
    <text>Use nodename other than used in 3.3.1</text>
  </threadedComment>
  <threadedComment ref="C25" dT="2021-08-11T09:00:12.81" personId="{AA43896B-736A-4A8D-B59D-746CD03248C3}" id="{36272CF2-3DF8-483C-B50E-209713055ACF}">
    <text>Use nodename other than used in 3.3.1</text>
  </threadedComment>
  <threadedComment ref="F27" dT="2021-06-03T10:45:18.93" personId="{AE0705C5-1109-405A-B1DC-E486553E87FF}" id="{9808FF8E-9D94-4120-A561-9158C3F2A23D}">
    <text>Enter a description name for subscription</text>
  </threadedComment>
  <threadedComment ref="C30" dT="2021-08-11T09:00:12.81" personId="{AA43896B-736A-4A8D-B59D-746CD03248C3}" id="{98BD1E34-48AB-43D2-AF27-E4D416FEFECE}">
    <text>Use nodename other than used in 3.3.1</text>
  </threadedComment>
  <threadedComment ref="F30" dT="2021-06-03T10:45:18.93" personId="{AE0705C5-1109-405A-B1DC-E486553E87FF}" id="{FEFCCDCA-E8DC-4337-95F8-E834CACC78BB}">
    <text>Enter a description name for subscription</text>
  </threadedComment>
  <threadedComment ref="C31" dT="2021-08-11T09:00:12.81" personId="{AA43896B-736A-4A8D-B59D-746CD03248C3}" id="{0D97034B-ECD2-4BE2-8418-B4D836120628}">
    <text>Use nodename other than used in 3.3.1</text>
  </threadedComment>
  <threadedComment ref="C32" dT="2021-08-11T09:00:12.81" personId="{AA43896B-736A-4A8D-B59D-746CD03248C3}" id="{C7250246-FFA4-4B93-94F2-5C0A3DFEA5ED}">
    <text>Use nodename other than used in 3.3.1</text>
  </threadedComment>
  <threadedComment ref="D32" dT="2023-10-06T06:03:24.71" personId="{2F7453FD-D284-42D3-9842-226A7BDB3407}" id="{4CB59898-4CF3-42B2-86C3-521FAF595A9D}">
    <text xml:space="preserve">Enter a Subscription which is in active state </text>
  </threadedComment>
  <threadedComment ref="C33" dT="2021-06-03T10:10:36.59" personId="{AE0705C5-1109-405A-B1DC-E486553E87FF}" id="{E363B30F-33A2-442E-A6F7-DB5BF2C365AC}">
    <text>Enter nodename based on nodetype present in TOL</text>
  </threadedComment>
  <threadedComment ref="F33" dT="2021-06-03T10:45:18.93" personId="{AE0705C5-1109-405A-B1DC-E486553E87FF}" id="{AC27A3DD-5FED-47FC-98A3-6EB78DBDE8EF}">
    <text>Enter a description name for subscription</text>
  </threadedComment>
  <threadedComment ref="I33" dT="2021-06-03T10:46:56.02" personId="{AE0705C5-1109-405A-B1DC-E486553E87FF}" id="{28E56CD6-FE84-425C-BDE1-CC3E6AFC9E4C}">
    <text>Give counter based on node for statistical subsription</text>
  </threadedComment>
  <threadedComment ref="C34" dT="2021-06-03T10:10:36.59" personId="{AE0705C5-1109-405A-B1DC-E486553E87FF}" id="{CA90A00D-E40A-4DD2-8061-DCC7D9C0D3AE}">
    <text>Enter nodename based on nodetype present in TOL</text>
  </threadedComment>
  <threadedComment ref="F34" dT="2021-06-03T10:45:18.93" personId="{AE0705C5-1109-405A-B1DC-E486553E87FF}" id="{49EEEA9A-A327-49FC-9B38-D3D9A6F2EB51}">
    <text>Enter a description name for subscription</text>
  </threadedComment>
  <threadedComment ref="E35" dT="2021-06-03T10:30:42.30" personId="{AE0705C5-1109-405A-B1DC-E486553E87FF}" id="{554BC3FD-917B-4593-A741-4080A5E44BE6}">
    <text>Enter duplicate name - 
{subscription_name}+_Duplicate</text>
  </threadedComment>
  <threadedComment ref="F35" dT="2021-06-03T10:45:18.93" personId="{AE0705C5-1109-405A-B1DC-E486553E87FF}" id="{5BBD651D-7CF9-42F2-9E90-5440B9EB573E}">
    <text>Enter a description name for subscription</text>
  </threadedComment>
  <threadedComment ref="C36" dT="2021-06-03T10:10:36.59" personId="{AE0705C5-1109-405A-B1DC-E486553E87FF}" id="{51722327-E90F-4FAC-B617-4D0126C59D2B}">
    <text>Enter nodename based on nodetype present in TOL</text>
  </threadedComment>
  <threadedComment ref="F36" dT="2021-06-03T10:45:18.93" personId="{AE0705C5-1109-405A-B1DC-E486553E87FF}" id="{A875CEF1-4D97-48D4-A3A9-CA12B8B46587}">
    <text>Enter a description name for subscription</text>
  </threadedComment>
  <threadedComment ref="I36" dT="2021-06-03T10:46:56.02" personId="{AE0705C5-1109-405A-B1DC-E486553E87FF}" id="{296F3B63-59FE-43A8-A514-99D43884FC8C}">
    <text>Give counter based on node for statistical subsription</text>
  </threadedComment>
  <threadedComment ref="E38" dT="2021-06-03T10:30:42.30" personId="{AE0705C5-1109-405A-B1DC-E486553E87FF}" id="{93CF8EBA-31CA-4A89-8593-67C02AB310AE}">
    <text>Enter duplicate name - 
{subscription_name}+_Duplicate</text>
  </threadedComment>
  <threadedComment ref="F38" dT="2021-06-03T10:45:18.93" personId="{AE0705C5-1109-405A-B1DC-E486553E87FF}" id="{5815FF19-6B36-427C-96E7-620197443CA2}">
    <text>Enter a description name for subscription</text>
  </threadedComment>
  <threadedComment ref="C40" dT="2021-06-03T10:10:36.59" personId="{AE0705C5-1109-405A-B1DC-E486553E87FF}" id="{F041C837-10FA-4454-A88B-BA112E1B8E57}">
    <text>Enter nodename based on nodetype present in TOL</text>
  </threadedComment>
  <threadedComment ref="F40" dT="2021-06-03T10:45:18.93" personId="{AE0705C5-1109-405A-B1DC-E486553E87FF}" id="{094C55E0-73FD-4E18-BEEB-087CF7076FB0}">
    <text>Enter a description name for subscription</text>
  </threadedComment>
  <threadedComment ref="C41" dT="2021-07-28T11:44:14.95" personId="{24CFE5FD-9BFA-4A51-8F99-9E03C7B322B0}" id="{3DD91ED8-4BC8-44D6-A381-B14D95F5F88E}">
    <text>The Uplink Spectrum File Collection test cases are applicable for the following nodes only:
•	eNodeB DU Radio Node or eNodeB Baseband Radio Node with Next Generation Radio (NGR) G1/G2 Radio Unit (RU) supporting uplink spectrum analyzer (RRU2217B1 with product number KRC161490/2 R1B)
•	NodeB DU Radio Node or Node B Baseband Radio Node with Next Generation Radio (NGR) G1/G2 Radio Unit (RU) supporting uplink spectrum analyzer (RRU2217B1 with product number KRC161490/2 R1B)
Use the following command in the ENM Command Line Interface (CLI) to get the list of eNodeB Baseband RadioNodes and Node B Baseband RadioNodes equipped with at least 1 NGR G1/G2 Radio Unit:
cmedit get * fieldReplaceableUnit
Use the following command in the ENM Command Line Interface (CLI) to get the list of NodeB DU RadioNodes and eNodeB DU RadioNodes equipped with at least 1 NGR G1/G2 Radio Unit:
cmedit get * AuxPlugInUnit</text>
  </threadedComment>
  <threadedComment ref="C42" dT="2021-07-28T11:44:14.95" personId="{24CFE5FD-9BFA-4A51-8F99-9E03C7B322B0}" id="{CE1BC230-78FA-4425-B861-8D318445992B}">
    <text>The Uplink Spectrum File Collection test cases are applicable for the following nodes only:
•	eNodeB DU Radio Node or eNodeB Baseband Radio Node with Next Generation Radio (NGR) G1/G2 Radio Unit (RU) supporting uplink spectrum analyzer (RRU2217B1 with product number KRC161490/2 R1B)
•	NodeB DU Radio Node or Node B Baseband Radio Node with Next Generation Radio (NGR) G1/G2 Radio Unit (RU) supporting uplink spectrum analyzer (RRU2217B1 with product number KRC161490/2 R1B)
Use the following command in the ENM Command Line Interface (CLI) to get the list of eNodeB Baseband RadioNodes and Node B Baseband RadioNodes equipped with at least 1 NGR G1/G2 Radio Unit:
cmedit get * fieldReplaceableUnit
Use the following command in the ENM Command Line Interface (CLI) to get the list of NodeB DU RadioNodes and eNodeB DU RadioNodes equipped with at least 1 NGR G1/G2 Radio Unit:
cmedit get * AuxPlugInUnit</text>
  </threadedComment>
  <threadedComment ref="O42" dT="2021-08-13T07:30:55.14" personId="{AB7E8338-4A19-4D46-B6D5-4308EDB89C24}" id="{00DDAD3B-85D2-4081-8EB4-B1F8B6ED59BC}">
    <text>The center frequency of uplink spectrum (units: Khz). The value must be specified in range of parameters minFrequency and maxFrequency received as a return value from ‘ulsa capability’ command, that must be a non-zero positive number</text>
  </threadedComment>
  <threadedComment ref="P42" dT="2021-08-02T11:59:11.55" personId="{24CFE5FD-9BFA-4A51-8F99-9E03C7B322B0}" id="{31A9DD0C-4FCB-4E7F-BA3E-B9C8D87BD10E}">
    <text>bandwidth (units: Khz).  This must be a non-zero positive number. If db is set to ‘0’, then db information will not be displayed.</text>
  </threadedComment>
  <threadedComment ref="Q42" dT="2021-08-02T11:59:11.55" personId="{24CFE5FD-9BFA-4A51-8F99-9E03C7B322B0}" id="{CD80A5E2-870F-4162-BC38-0C4F6D465EB3}">
    <text>bandwidth (units: Khz).  This must be a non-zero positive number. If db is set to ‘0’, then db information will not be displayed.</text>
  </threadedComment>
  <threadedComment ref="C43" dT="2021-07-28T11:44:14.95" personId="{24CFE5FD-9BFA-4A51-8F99-9E03C7B322B0}" id="{BDC5A07A-C191-4579-A72B-83B1F8DF1BEC}">
    <text>The Uplink Spectrum File Collection test cases are applicable for the following nodes only:
•	eNodeB DU Radio Node or eNodeB Baseband Radio Node with Next Generation Radio (NGR) G1/G2 Radio Unit (RU) supporting uplink spectrum analyzer (RRU2217B1 with product number KRC161490/2 R1B)
•	NodeB DU Radio Node or Node B Baseband Radio Node with Next Generation Radio (NGR) G1/G2 Radio Unit (RU) supporting uplink spectrum analyzer (RRU2217B1 with product number KRC161490/2 R1B)
Use the following command in the ENM Command Line Interface (CLI) to get the list of eNodeB Baseband RadioNodes and Node B Baseband RadioNodes equipped with at least 1 NGR G1/G2 Radio Unit:
cmedit get * fieldReplaceableUnit
Use the following command in the ENM Command Line Interface (CLI) to get the list of NodeB DU RadioNodes and eNodeB DU RadioNodes equipped with at least 1 NGR G1/G2 Radio Unit:
cmedit get * AuxPlugInUnit</text>
  </threadedComment>
  <threadedComment ref="O43" dT="2021-08-13T07:30:55.14" personId="{AB7E8338-4A19-4D46-B6D5-4308EDB89C24}" id="{C590FBBF-72C3-47F4-A46E-14D2E7C98448}">
    <text>The center frequency of uplink spectrum (units: Khz). The value must be specified in range of parameters minFrequency and maxFrequency received as a return value from ‘ulsa capability’ command, that must be a non-zero positive number</text>
  </threadedComment>
  <threadedComment ref="P43" dT="2021-08-02T11:59:11.55" personId="{24CFE5FD-9BFA-4A51-8F99-9E03C7B322B0}" id="{A7AD69DE-A164-4695-9EA0-5215D65C016B}">
    <text>bandwidth (units: Khz).  This must be a non-zero positive number. If db is set to ‘0’, then db information will not be displayed.</text>
  </threadedComment>
  <threadedComment ref="Q43" dT="2021-08-02T11:59:11.55" personId="{24CFE5FD-9BFA-4A51-8F99-9E03C7B322B0}" id="{69000818-DA7E-4C66-8CB3-C9FA49DEB636}">
    <text>bandwidth (units: Khz).  This must be a non-zero positive number. If db is set to ‘0’, then db information will not be displayed.</text>
  </threadedComment>
  <threadedComment ref="C44" dT="2021-07-28T11:44:14.95" personId="{24CFE5FD-9BFA-4A51-8F99-9E03C7B322B0}" id="{43A565C6-038C-4A68-AEAC-53CA1FA15ECE}">
    <text>The Uplink Spectrum File Collection test cases are applicable for the following nodes only:
•	eNodeB DU Radio Node or eNodeB Baseband Radio Node with Next Generation Radio (NGR) G1/G2 Radio Unit (RU) supporting uplink spectrum analyzer (RRU2217B1 with product number KRC161490/2 R1B)
•	NodeB DU Radio Node or Node B Baseband Radio Node with Next Generation Radio (NGR) G1/G2 Radio Unit (RU) supporting uplink spectrum analyzer (RRU2217B1 with product number KRC161490/2 R1B)
Use the following command in the ENM Command Line Interface (CLI) to get the list of eNodeB Baseband RadioNodes and Node B Baseband RadioNodes equipped with at least 1 NGR G1/G2 Radio Unit:
cmedit get * fieldReplaceableUnit
Use the following command in the ENM Command Line Interface (CLI) to get the list of NodeB DU RadioNodes and eNodeB DU RadioNodes equipped with at least 1 NGR G1/G2 Radio Unit:
cmedit get * AuxPlugInUnit</text>
  </threadedComment>
  <threadedComment ref="O44" dT="2021-08-13T07:30:55.14" personId="{AB7E8338-4A19-4D46-B6D5-4308EDB89C24}" id="{A173C219-15B9-4B95-BA76-234A9564703B}">
    <text>The center frequency of uplink spectrum (units: Khz). The value must be specified in range of parameters minFrequency and maxFrequency received as a return value from ‘ulsa capability’ command, that must be a non-zero positive number</text>
  </threadedComment>
  <threadedComment ref="P44" dT="2021-08-02T11:59:11.55" personId="{24CFE5FD-9BFA-4A51-8F99-9E03C7B322B0}" id="{73B7E45E-B1B9-49EA-8DCA-DD8D721AC7F0}">
    <text>bandwidth (units: Khz).  This must be a non-zero positive number. If db is set to ‘0’, then db information will not be displayed.</text>
  </threadedComment>
  <threadedComment ref="Q44" dT="2021-08-02T11:59:11.55" personId="{24CFE5FD-9BFA-4A51-8F99-9E03C7B322B0}" id="{BEF099ED-8EFA-4929-8B71-020AF7F53F74}">
    <text>bandwidth (units: Khz).  This must be a non-zero positive number. If db is set to ‘0’, then db information will not be displayed.</text>
  </threadedComment>
  <threadedComment ref="R44" dT="2021-08-02T11:59:11.55" personId="{24CFE5FD-9BFA-4A51-8F99-9E03C7B322B0}" id="{DD847BBD-12F4-4011-97BC-5B237A181501}">
    <text>bandwidth (units: Khz).  This must be a non-zero positive number. If db is set to ‘0’, then db information will not be displayed.</text>
  </threadedComment>
  <threadedComment ref="S44" dT="2021-08-13T07:38:10.15" personId="{AB7E8338-4A19-4D46-B6D5-4308EDB89C24}" id="{F252D624-C77D-4DF6-992F-C30BA519753A}">
    <text>Sampling Timeout</text>
  </threadedComment>
  <threadedComment ref="C45" dT="2021-07-28T11:44:14.95" personId="{24CFE5FD-9BFA-4A51-8F99-9E03C7B322B0}" id="{18869D62-6BA5-4A09-8F73-D524B496C080}">
    <text>The Uplink Spectrum File Collection test cases are applicable for the following nodes only:
•	eNodeB DU Radio Node or eNodeB Baseband Radio Node with Next Generation Radio (NGR) G1/G2 Radio Unit (RU) supporting uplink spectrum analyzer (RRU2217B1 with product number KRC161490/2 R1B)
•	NodeB DU Radio Node or Node B Baseband Radio Node with Next Generation Radio (NGR) G1/G2 Radio Unit (RU) supporting uplink spectrum analyzer (RRU2217B1 with product number KRC161490/2 R1B)
Use the following command in the ENM Command Line Interface (CLI) to get the list of eNodeB Baseband RadioNodes and Node B Baseband RadioNodes equipped with at least 1 NGR G1/G2 Radio Unit:
cmedit get * fieldReplaceableUnit
Use the following command in the ENM Command Line Interface (CLI) to get the list of NodeB DU RadioNodes and eNodeB DU RadioNodes equipped with at least 1 NGR G1/G2 Radio Unit:
cmedit get * AuxPlugInUnit</text>
  </threadedComment>
  <threadedComment ref="O45" dT="2021-08-13T07:30:55.14" personId="{AB7E8338-4A19-4D46-B6D5-4308EDB89C24}" id="{35EB3F00-EAFD-49D1-9200-EB2A8A092B58}">
    <text>The center frequency of uplink spectrum (units: Khz). The value must be specified in range of parameters minFrequency and maxFrequency received as a return value from ‘ulsa capability’ command, that must be a non-zero positive number</text>
  </threadedComment>
  <threadedComment ref="P45" dT="2021-08-02T11:59:11.55" personId="{24CFE5FD-9BFA-4A51-8F99-9E03C7B322B0}" id="{4D9ECE90-04AE-4811-83AD-715C78803124}">
    <text>bandwidth (units: Khz).  This must be a non-zero positive number. If db is set to ‘0’, then db information will not be displayed.</text>
  </threadedComment>
  <threadedComment ref="Q45" dT="2021-08-02T11:59:11.55" personId="{24CFE5FD-9BFA-4A51-8F99-9E03C7B322B0}" id="{42C2696D-C497-4090-8CBF-FD71E3AC909A}">
    <text>bandwidth (units: Khz).  This must be a non-zero positive number. If db is set to ‘0’, then db information will not be displayed.</text>
  </threadedComment>
  <threadedComment ref="T45" dT="2021-08-13T07:42:26.52" personId="{AB7E8338-4A19-4D46-B6D5-4308EDB89C24}" id="{5D91A22E-66A6-4498-BACC-2C30084FB8F5}">
    <text>LMS hostname</text>
  </threadedComment>
  <threadedComment ref="U45" dT="2021-08-13T07:42:09.42" personId="{AB7E8338-4A19-4D46-B6D5-4308EDB89C24}" id="{85A7ABFA-7AC7-4FF6-A3FD-2A0562256173}">
    <text>LMS username</text>
  </threadedComment>
  <threadedComment ref="V45" dT="2021-08-13T07:41:24.91" personId="{AB7E8338-4A19-4D46-B6D5-4308EDB89C24}" id="{5BD3748C-933F-42D6-8D1C-DD56B791E5CF}">
    <text>LMS password</text>
  </threadedComment>
  <threadedComment ref="W45" dT="2021-08-13T07:39:39.34" personId="{AB7E8338-4A19-4D46-B6D5-4308EDB89C24}" id="{C25D3E3E-F1B1-4053-A27D-6F8689531F62}">
    <text>FLS server hostname</text>
  </threadedComment>
  <threadedComment ref="X45" dT="2021-08-13T07:40:48.46" personId="{AB7E8338-4A19-4D46-B6D5-4308EDB89C24}" id="{174C079F-626F-4290-9926-433094CA6C00}">
    <text>FLS Server username</text>
  </threadedComment>
  <threadedComment ref="C46" dT="2021-07-28T11:44:14.95" personId="{24CFE5FD-9BFA-4A51-8F99-9E03C7B322B0}" id="{C4E11F3C-7EA7-41B7-9518-70C2A6956755}">
    <text>The Uplink Spectrum File Collection test cases are applicable for the following nodes only:
•	eNodeB DU Radio Node or eNodeB Baseband Radio Node with Next Generation Radio (NGR) G1/G2 Radio Unit (RU) supporting uplink spectrum analyzer (RRU2217B1 with product number KRC161490/2 R1B)
•	NodeB DU Radio Node or Node B Baseband Radio Node with Next Generation Radio (NGR) G1/G2 Radio Unit (RU) supporting uplink spectrum analyzer (RRU2217B1 with product number KRC161490/2 R1B)
Use the following command in the ENM Command Line Interface (CLI) to get the list of eNodeB Baseband RadioNodes and Node B Baseband RadioNodes equipped with at least 1 NGR G1/G2 Radio Unit:
cmedit get * fieldReplaceableUnit
Use the following command in the ENM Command Line Interface (CLI) to get the list of NodeB DU RadioNodes and eNodeB DU RadioNodes equipped with at least 1 NGR G1/G2 Radio Unit:
cmedit get * AuxPlugInUnit</text>
  </threadedComment>
  <threadedComment ref="O46" dT="2021-08-13T07:30:55.14" personId="{AB7E8338-4A19-4D46-B6D5-4308EDB89C24}" id="{0052AD33-4404-4822-9690-B0B79C5B8C7C}">
    <text>The center frequency of uplink spectrum (units: Khz). The value must be specified in range of parameters minFrequency and maxFrequency received as a return value from ‘ulsa capability’ command, that must be a non-zero positive number</text>
  </threadedComment>
  <threadedComment ref="P46" dT="2021-08-02T11:59:11.55" personId="{24CFE5FD-9BFA-4A51-8F99-9E03C7B322B0}" id="{EA68542A-6218-4B77-A46E-BA1CDD98C800}">
    <text>bandwidth (units: Khz).  This must be a non-zero positive number. If db is set to ‘0’, then db information will not be displayed.</text>
  </threadedComment>
  <threadedComment ref="Q46" dT="2021-08-02T11:59:11.55" personId="{24CFE5FD-9BFA-4A51-8F99-9E03C7B322B0}" id="{898D9456-AA9E-48A9-A912-9D028582B1CA}">
    <text>bandwidth (units: Khz).  This must be a non-zero positive number. If db is set to ‘0’, then db information will not be displayed.</text>
  </threadedComment>
  <threadedComment ref="R46" dT="2021-08-02T11:59:11.55" personId="{24CFE5FD-9BFA-4A51-8F99-9E03C7B322B0}" id="{1D2F7776-2F01-4A66-9A64-BEBD3B3518B5}">
    <text>bandwidth (units: Khz).  This must be a non-zero positive number. If db is set to ‘0’, then db information will not be displayed.</text>
  </threadedComment>
  <threadedComment ref="S46" dT="2021-08-13T07:38:10.15" personId="{AB7E8338-4A19-4D46-B6D5-4308EDB89C24}" id="{CF71BBA8-1D91-4D94-A9F7-425262097859}">
    <text>Sampling Timeout</text>
  </threadedComment>
  <threadedComment ref="C47" dT="2021-07-28T11:44:14.95" personId="{24CFE5FD-9BFA-4A51-8F99-9E03C7B322B0}" id="{A1D9C83A-1372-4839-B9D5-DD2A20A49359}">
    <text>The Uplink Spectrum File Collection test cases are applicable for the following nodes only:
•	eNodeB DU Radio Node or eNodeB Baseband Radio Node with Next Generation Radio (NGR) G1/G2 Radio Unit (RU) supporting uplink spectrum analyzer (RRU2217B1 with product number KRC161490/2 R1B)
•	NodeB DU Radio Node or Node B Baseband Radio Node with Next Generation Radio (NGR) G1/G2 Radio Unit (RU) supporting uplink spectrum analyzer (RRU2217B1 with product number KRC161490/2 R1B)
Use the following command in the ENM Command Line Interface (CLI) to get the list of eNodeB Baseband RadioNodes and Node B Baseband RadioNodes equipped with at least 1 NGR G1/G2 Radio Unit:
cmedit get * fieldReplaceableUnit
Use the following command in the ENM Command Line Interface (CLI) to get the list of NodeB DU RadioNodes and eNodeB DU RadioNodes equipped with at least 1 NGR G1/G2 Radio Unit:
cmedit get * AuxPlugInUnit</text>
  </threadedComment>
  <threadedComment ref="O47" dT="2021-08-13T07:30:55.14" personId="{AB7E8338-4A19-4D46-B6D5-4308EDB89C24}" id="{3B412F3F-91D4-4E65-B495-B070A077C2B6}">
    <text>The center frequency of uplink spectrum (units: Khz). The value must be specified in range of parameters minFrequency and maxFrequency received as a return value from ‘ulsa capability’ command, that must be a non-zero positive number</text>
  </threadedComment>
  <threadedComment ref="P47" dT="2021-08-02T11:59:11.55" personId="{24CFE5FD-9BFA-4A51-8F99-9E03C7B322B0}" id="{70AEFFAA-768F-4E52-B1BA-75F08E3D6FE0}">
    <text>bandwidth (units: Khz).  This must be a non-zero positive number. If db is set to ‘0’, then db information will not be displayed.</text>
  </threadedComment>
  <threadedComment ref="Q47" dT="2021-08-02T11:59:11.55" personId="{24CFE5FD-9BFA-4A51-8F99-9E03C7B322B0}" id="{90D5EC74-49C0-4BF4-85CE-9D9BBBDFF17F}">
    <text>bandwidth (units: Khz).  This must be a non-zero positive number. If db is set to ‘0’, then db information will not be displayed.</text>
  </threadedComment>
  <threadedComment ref="R47" dT="2021-08-02T11:59:11.55" personId="{24CFE5FD-9BFA-4A51-8F99-9E03C7B322B0}" id="{95790A1B-54FA-4091-80C5-2E1C3764B2E5}">
    <text>bandwidth (units: Khz).  This must be a non-zero positive number. If db is set to ‘0’, then db information will not be displayed.</text>
  </threadedComment>
  <threadedComment ref="S47" dT="2021-08-13T07:38:10.15" personId="{AB7E8338-4A19-4D46-B6D5-4308EDB89C24}" id="{072600F3-FD1E-4B9C-BF18-32A4943884BA}">
    <text>Sampling Timeout</text>
  </threadedComment>
  <threadedComment ref="D48" dT="2021-06-03T10:28:06.84" personId="{AE0705C5-1109-405A-B1DC-E486553E87FF}" id="{6C748406-1B1A-4042-BFB2-FBFB438B8EAB}">
    <text>Enter a Subscription name to create a Statistical subcription</text>
  </threadedComment>
  <threadedComment ref="E48" dT="2021-06-03T10:30:42.30" personId="{AE0705C5-1109-405A-B1DC-E486553E87FF}" id="{713E53F0-CD88-4B0C-8D85-07AEFF8548E6}">
    <text>Enter duplicate name - 
{subscription_name}+_Duplicate</text>
  </threadedComment>
  <threadedComment ref="F48" dT="2021-06-03T10:45:18.93" personId="{AE0705C5-1109-405A-B1DC-E486553E87FF}" id="{608FC8DE-3CB1-49C3-A61E-73346BD58197}">
    <text>Enter a description name for subscription</text>
  </threadedComment>
  <threadedComment ref="C52" dT="2021-06-03T10:10:36.59" personId="{AE0705C5-1109-405A-B1DC-E486553E87FF}" id="{6953685B-58F8-4586-959D-D59976198DC6}">
    <text>Enter nodename based on nodetype present in TOL</text>
  </threadedComment>
  <threadedComment ref="D52" dT="2021-06-03T10:28:06.84" personId="{AE0705C5-1109-405A-B1DC-E486553E87FF}" id="{961B88BC-E160-4228-A396-1FE12B49D5F0}">
    <text>Enter a Subscription name to create a Statistical subcription</text>
  </threadedComment>
  <threadedComment ref="F52" dT="2021-06-03T10:45:18.93" personId="{AE0705C5-1109-405A-B1DC-E486553E87FF}" id="{8B049271-996E-4E93-8FB8-C334C22438B8}">
    <text>Enter a description name for subscription</text>
  </threadedComment>
  <threadedComment ref="G52" dT="2021-06-03T10:46:56.02" personId="{AE0705C5-1109-405A-B1DC-E486553E87FF}" id="{92E6B6CF-9B31-4474-A78E-C5624899CC71}">
    <text/>
  </threadedComment>
  <threadedComment ref="C53" dT="2021-06-03T10:10:36.59" personId="{AE0705C5-1109-405A-B1DC-E486553E87FF}" id="{F0067EE4-2AB3-4D70-917C-A5B42E1C7747}">
    <text>Enter nodename based on nodetype present in TOL</text>
  </threadedComment>
  <threadedComment ref="D53" dT="2021-06-03T10:28:06.84" personId="{AE0705C5-1109-405A-B1DC-E486553E87FF}" id="{3BFBF4A9-70C1-404C-8BE0-E6087254AC84}">
    <text>Enter a Subscription name to create a Statistical subcription</text>
  </threadedComment>
  <threadedComment ref="D54" dT="2021-06-03T10:28:06.84" personId="{AE0705C5-1109-405A-B1DC-E486553E87FF}" id="{BC7C5083-9553-4D48-8D04-9DC58DEE0022}">
    <text>Enter a Subscription name to create a Statistical subcription</text>
  </threadedComment>
  <threadedComment ref="D55" dT="2021-06-03T10:28:06.84" personId="{AE0705C5-1109-405A-B1DC-E486553E87FF}" id="{B022BBA5-A4B0-43AA-904D-44F0AC9C950A}">
    <text>Enter a Subscription name to create a Statistical subcription</text>
  </threadedComment>
  <threadedComment ref="E55" dT="2021-06-07T09:13:20.47" personId="{AE0705C5-1109-405A-B1DC-E486553E87FF}" id="{077D3D5B-120C-4C5C-9CCB-F21C267ADD69}">
    <text>Enter a description for active UE subscription</text>
  </threadedComment>
  <threadedComment ref="D56" dT="2021-06-03T10:28:06.84" personId="{AE0705C5-1109-405A-B1DC-E486553E87FF}" id="{4E2564B9-5EF4-45B0-8847-1795AA6BE557}">
    <text>Enter a Subscription name to create a Statistical subcription</text>
  </threadedComment>
  <threadedComment ref="E56" dT="2021-06-03T10:30:42.30" personId="{AE0705C5-1109-405A-B1DC-E486553E87FF}" id="{ABF1CADB-2DF3-41E9-A783-2251BC29ED42}">
    <text>Enter duplicate name - 
{subscription_name}+_Duplicate</text>
  </threadedComment>
  <threadedComment ref="F56" dT="2021-06-03T10:45:18.93" personId="{AE0705C5-1109-405A-B1DC-E486553E87FF}" id="{A367A7F0-9754-4275-AA80-BC6D6EED7AA7}">
    <text>Enter a description name for subscription</text>
  </threadedComment>
  <threadedComment ref="D57" dT="2021-06-03T10:28:06.84" personId="{AE0705C5-1109-405A-B1DC-E486553E87FF}" id="{DAAECE26-59A9-4990-A462-A3DD59E35740}">
    <text>Enter a Subscription name to create a Statistical subcription</text>
  </threadedComment>
  <threadedComment ref="F63" dT="2021-06-03T10:45:18.93" personId="{AE0705C5-1109-405A-B1DC-E486553E87FF}" id="{F055EC0A-AC5D-435C-85BA-3B61055B8BB6}">
    <text>Enter a description name for subscription</text>
  </threadedComment>
</ThreadedComments>
</file>

<file path=xl/threadedComments/threadedComment18.xml><?xml version="1.0" encoding="utf-8"?>
<ThreadedComments xmlns="http://schemas.microsoft.com/office/spreadsheetml/2018/threadedcomments" xmlns:x="http://schemas.openxmlformats.org/spreadsheetml/2006/main">
  <threadedComment ref="D2" dT="2021-06-03T11:11:21.03" personId="{AE0705C5-1109-405A-B1DC-E486553E87FF}" id="{4DDDB6BD-83F1-4DFA-83B6-91C361689B0A}">
    <text>Enter a KPI name to create</text>
  </threadedComment>
  <threadedComment ref="G2" dT="2021-12-01T07:19:31.24" personId="{2F7453FD-D284-42D3-9842-226A7BDB3407}" id="{2D19785A-9F1E-4BBE-BAA1-6981970EBC59}">
    <text>Enter Reporting Object.Your node selection will determine the reporting objects available. Not all Reporting Objects are available for all nodes</text>
  </threadedComment>
  <threadedComment ref="I2" dT="2021-06-03T11:18:01.94" personId="{AE0705C5-1109-405A-B1DC-E486553E87FF}" id="{95FBE39D-C306-45E4-9D1B-D0FC43D922B2}">
    <text>Enter a nodetype you want to create</text>
  </threadedComment>
  <threadedComment ref="J2" dT="2021-06-03T11:12:12.17" personId="{AE0705C5-1109-405A-B1DC-E486553E87FF}" id="{A94D55B9-0F29-4EAD-960D-E5146D0C2B38}">
    <text>Enter Measurement Object based on Nodetype during KPI creation</text>
  </threadedComment>
  <threadedComment ref="K2" dT="2021-06-03T11:14:02.23" personId="{AE0705C5-1109-405A-B1DC-E486553E87FF}" id="{406A7FB7-0CB6-4710-8306-86602E7EC033}">
    <text>Enter formula based on Nodetype</text>
  </threadedComment>
  <threadedComment ref="L2" dT="2021-06-03T11:14:19.83" personId="{AE0705C5-1109-405A-B1DC-E486553E87FF}" id="{645B45FE-3A81-4DBF-A943-B4B593B52B44}">
    <text>Enter subformula based on nodetype during KPI creation</text>
  </threadedComment>
  <threadedComment ref="C3" dT="2021-06-03T10:10:36.59" personId="{AE0705C5-1109-405A-B1DC-E486553E87FF}" id="{EA384CF4-6A4F-4D96-9E29-C51E101BE449}">
    <text>Enter nodename based on nodetype present in TOL</text>
  </threadedComment>
  <threadedComment ref="D3" dT="2022-11-14T06:20:06.64" personId="{2F7453FD-D284-42D3-9842-226A7BDB3407}" id="{233E5F8A-83E7-4E20-A1F5-E69D6E9C8FB1}">
    <text>Add same KPI Name as created in NHM-3.1 testcase.</text>
  </threadedComment>
  <threadedComment ref="D4" dT="2022-11-14T06:20:06.64" personId="{2F7453FD-D284-42D3-9842-226A7BDB3407}" id="{303876D6-8260-466A-BDC2-667D0F2FB19B}">
    <text>Add same KPI Name as created in NHM-3.1 testcase.</text>
  </threadedComment>
  <threadedComment ref="D5" dT="2022-11-14T06:20:06.64" personId="{2F7453FD-D284-42D3-9842-226A7BDB3407}" id="{DDAE275C-DC42-45EB-A025-6F5604D41FFD}">
    <text>Add same KPI Name as created in NHM-3.1 testcase.</text>
  </threadedComment>
  <threadedComment ref="H5" dT="2021-06-03T11:10:48.62" personId="{AE0705C5-1109-405A-B1DC-E486553E87FF}" id="{2D0B32AD-D4BA-41BF-B00B-11AF1D3D6DF5}">
    <text>Enter a Duplicate KPI name</text>
  </threadedComment>
  <threadedComment ref="C6" dT="2021-06-03T10:10:36.59" personId="{AE0705C5-1109-405A-B1DC-E486553E87FF}" id="{01CB0967-40EA-4574-81A9-40577E7E67B1}">
    <text>Enter nodename based on nodetype present in TOL</text>
  </threadedComment>
  <threadedComment ref="C9" dT="2021-06-03T10:10:36.59" personId="{AE0705C5-1109-405A-B1DC-E486553E87FF}" id="{9E5F0BA7-1C4C-4124-A096-DEB9D76FC5CF}">
    <text>Enter nodename based on nodetype present in TOL</text>
  </threadedComment>
  <threadedComment ref="C10" dT="2021-06-03T10:10:36.59" personId="{AE0705C5-1109-405A-B1DC-E486553E87FF}" id="{996CC7A5-4518-4B18-B149-1EF065BEFD1B}">
    <text>Enter nodename based on nodetype present in TOL</text>
  </threadedComment>
  <threadedComment ref="C11" dT="2021-06-03T10:10:36.59" personId="{AE0705C5-1109-405A-B1DC-E486553E87FF}" id="{62C9238D-3A1E-46BC-B8AF-C7EB5D8EEAF3}">
    <text>Enter nodename based on nodetype present in TOL</text>
  </threadedComment>
  <threadedComment ref="C12" dT="2021-06-03T10:10:36.59" personId="{AE0705C5-1109-405A-B1DC-E486553E87FF}" id="{A5235462-5767-421F-917E-82E7FC0B93AE}">
    <text>Enter nodename based on nodetype present in TOL</text>
  </threadedComment>
  <threadedComment ref="C13" dT="2021-06-03T10:10:36.59" personId="{AE0705C5-1109-405A-B1DC-E486553E87FF}" id="{E297C89D-4827-4FA2-AFA9-00FBB26EE1EC}">
    <text>Enter nodename based on nodetype present in TOL</text>
  </threadedComment>
  <threadedComment ref="C14" dT="2021-06-03T10:10:36.59" personId="{AE0705C5-1109-405A-B1DC-E486553E87FF}" id="{59F70F91-FA4C-4C85-AFD5-7A5577733143}">
    <text>Enter nodename based on nodetype present in TOL</text>
  </threadedComment>
  <threadedComment ref="C15" dT="2021-06-03T10:10:36.59" personId="{AE0705C5-1109-405A-B1DC-E486553E87FF}" id="{AB6A6A3B-E8C4-4254-A0DC-A79FA145E1D2}">
    <text>Enter nodename based on nodetype present in TOL</text>
  </threadedComment>
  <threadedComment ref="C16" dT="2021-06-03T10:10:36.59" personId="{AE0705C5-1109-405A-B1DC-E486553E87FF}" id="{5A5DB37C-D25E-486A-8C9D-31D80A23B29F}">
    <text>Enter nodename based on nodetype present in TOL</text>
  </threadedComment>
  <threadedComment ref="C17" dT="2021-06-03T10:10:36.59" personId="{AE0705C5-1109-405A-B1DC-E486553E87FF}" id="{42A1CC26-C2C2-4200-AEDB-BAC6B64500AF}">
    <text>Enter nodename based on nodetype present in TOL</text>
  </threadedComment>
  <threadedComment ref="C18" dT="2021-06-03T10:10:36.59" personId="{AE0705C5-1109-405A-B1DC-E486553E87FF}" id="{6DC0F63F-0042-4FE3-901B-C38AB708B80B}">
    <text>Enter nodename based on nodetype present in TOL</text>
  </threadedComment>
  <threadedComment ref="C19" dT="2021-06-03T10:10:36.59" personId="{AE0705C5-1109-405A-B1DC-E486553E87FF}" id="{06E5547D-9DCD-468C-902D-121756A778EE}">
    <text>Enter nodename based on nodetype present in TOL</text>
  </threadedComment>
  <threadedComment ref="H19" dT="2021-06-03T10:10:36.59" personId="{AE0705C5-1109-405A-B1DC-E486553E87FF}" id="{9B706440-DBE9-4021-9C60-5A899168CFB6}">
    <text>Enter nodename based on nodetype present in TOL</text>
  </threadedComment>
  <threadedComment ref="C20" dT="2021-06-03T10:10:36.59" personId="{AE0705C5-1109-405A-B1DC-E486553E87FF}" id="{BDA48447-73EF-45AA-A536-A7EDF41078B0}">
    <text>Enter nodename based on nodetype present in TOL</text>
  </threadedComment>
  <threadedComment ref="C21" dT="2021-06-03T10:10:36.59" personId="{AE0705C5-1109-405A-B1DC-E486553E87FF}" id="{20946D65-767C-482A-8038-D5EDACCC4A26}">
    <text>Enter nodename based on nodetype present in TOL</text>
  </threadedComment>
  <threadedComment ref="C22" dT="2021-06-03T10:10:36.59" personId="{AE0705C5-1109-405A-B1DC-E486553E87FF}" id="{4FA1E553-2530-462C-A557-E38382FD144E}">
    <text>Enter nodename based on nodetype present in TOL</text>
  </threadedComment>
  <threadedComment ref="C23" dT="2021-06-03T10:10:36.59" personId="{AE0705C5-1109-405A-B1DC-E486553E87FF}" id="{77B58BE8-D7FF-458E-931E-A454FA354A9C}">
    <text>Enter nodename based on nodetype present in TOL</text>
  </threadedComment>
  <threadedComment ref="C24" dT="2021-06-03T10:10:36.59" personId="{AE0705C5-1109-405A-B1DC-E486553E87FF}" id="{94F949FF-5D7D-4D96-BDF8-AB6BA2E5E77D}">
    <text>Enter nodename based on nodetype present in TOL</text>
  </threadedComment>
  <threadedComment ref="C25" dT="2021-06-03T10:10:36.59" personId="{AE0705C5-1109-405A-B1DC-E486553E87FF}" id="{A4163477-5E38-4FAC-AB93-752CD1B031E4}">
    <text>Enter nodename based on nodetype present in TOL</text>
  </threadedComment>
  <threadedComment ref="C26" dT="2021-06-03T10:10:36.59" personId="{AE0705C5-1109-405A-B1DC-E486553E87FF}" id="{A038BDF7-9D4B-42E4-B1CB-EA5AC336F63E}">
    <text>Enter nodename based on nodetype present in TOL</text>
  </threadedComment>
  <threadedComment ref="C27" dT="2021-06-03T10:10:36.59" personId="{AE0705C5-1109-405A-B1DC-E486553E87FF}" id="{E59EB029-6E21-4297-B6BC-230299EFC6DF}">
    <text>Enter nodename based on nodetype present in TOL</text>
  </threadedComment>
  <threadedComment ref="C28" dT="2021-06-03T10:10:36.59" personId="{AE0705C5-1109-405A-B1DC-E486553E87FF}" id="{ADE97C1D-B9B5-4015-AAD1-4C051911ADE7}">
    <text>Enter nodename based on nodetype present in TOL</text>
  </threadedComment>
  <threadedComment ref="C29" dT="2021-06-03T10:10:36.59" personId="{AE0705C5-1109-405A-B1DC-E486553E87FF}" id="{15198287-9870-48C7-AFD7-7E5A0EF3F54F}">
    <text>Enter nodename based on nodetype present in TOL</text>
  </threadedComment>
  <threadedComment ref="C30" dT="2021-06-03T10:10:36.59" personId="{AE0705C5-1109-405A-B1DC-E486553E87FF}" id="{443D6F13-9CCA-4A54-B568-1CA5D06A9711}">
    <text>Enter nodename based on nodetype present in TOL</text>
  </threadedComment>
  <threadedComment ref="C31" dT="2021-06-03T10:10:36.59" personId="{AE0705C5-1109-405A-B1DC-E486553E87FF}" id="{91151D24-DC12-40C4-8E44-9730FE5005C4}">
    <text>Enter nodename based on nodetype present in TOL</text>
  </threadedComment>
  <threadedComment ref="C32" dT="2021-06-03T10:10:36.59" personId="{AE0705C5-1109-405A-B1DC-E486553E87FF}" id="{E294A714-809B-4496-A84E-115C3EB08600}">
    <text>Enter nodename based on nodetype present in TOL</text>
  </threadedComment>
  <threadedComment ref="D34" dT="2021-06-03T11:11:21.03" personId="{AE0705C5-1109-405A-B1DC-E486553E87FF}" id="{A5E43A57-40AA-453C-B5DB-201D59E36D29}">
    <text>Enter a KPI name to create</text>
  </threadedComment>
  <threadedComment ref="G34" dT="2021-12-01T07:19:31.24" personId="{2F7453FD-D284-42D3-9842-226A7BDB3407}" id="{6A74AE97-9DB4-4186-ABA0-8F96E306B5E9}">
    <text>Enter Reporting Object.Your node selection will determine the reporting objects available. Not all Reporting Objects are available for all nodes</text>
  </threadedComment>
  <threadedComment ref="I34" dT="2021-06-03T11:18:01.94" personId="{AE0705C5-1109-405A-B1DC-E486553E87FF}" id="{F92574D4-12B2-407A-A19E-49040F41550D}">
    <text>Enter a nodetype you want to create</text>
  </threadedComment>
  <threadedComment ref="J34" dT="2021-06-03T11:12:12.17" personId="{AE0705C5-1109-405A-B1DC-E486553E87FF}" id="{8460A28F-741E-427B-8859-2B4CD056751D}">
    <text>Enter Measurement Object based on Nodetype during KPI creation</text>
  </threadedComment>
  <threadedComment ref="K34" dT="2021-06-03T11:14:02.23" personId="{AE0705C5-1109-405A-B1DC-E486553E87FF}" id="{4091F4B6-04C6-465E-A7B4-5869C010DF30}">
    <text>Enter formula based on Nodetype</text>
  </threadedComment>
  <threadedComment ref="L34" dT="2021-06-03T11:14:19.83" personId="{AE0705C5-1109-405A-B1DC-E486553E87FF}" id="{5093E68B-E1C5-493E-A6EF-E966FF0AEE3A}">
    <text>Enter subformula based on nodetype during KPI creation</text>
  </threadedComment>
</ThreadedComments>
</file>

<file path=xl/threadedComments/threadedComment19.xml><?xml version="1.0" encoding="utf-8"?>
<ThreadedComments xmlns="http://schemas.microsoft.com/office/spreadsheetml/2018/threadedcomments" xmlns:x="http://schemas.openxmlformats.org/spreadsheetml/2006/main">
  <threadedComment ref="C2" dT="2021-06-03T10:10:36.59" personId="{AE0705C5-1109-405A-B1DC-E486553E87FF}" id="{DFD1A594-6D16-41E5-B504-E18B911DFAA0}">
    <text>Enter nodename based on nodetype present in TOL</text>
  </threadedComment>
  <threadedComment ref="C3" dT="2021-06-03T10:10:36.59" personId="{AE0705C5-1109-405A-B1DC-E486553E87FF}" id="{8B2718BA-95FE-4BFC-B02C-6CAC4F1148CB}">
    <text>Enter nodename based on nodetype present in TOL</text>
  </threadedComment>
  <threadedComment ref="C4" dT="2021-06-03T10:10:36.59" personId="{AE0705C5-1109-405A-B1DC-E486553E87FF}" id="{858B11D1-5D71-43E8-8058-7A8C4396267D}">
    <text>Enter nodename based on nodetype present in TOL</text>
  </threadedComment>
  <threadedComment ref="E4" dT="2021-06-03T11:23:26.88" personId="{AE0705C5-1109-405A-B1DC-E486553E87FF}" id="{CAA15B03-6A5F-4F75-A42B-CA820CC46BC0}">
    <text>Enter a name to create a Alarm route</text>
  </threadedComment>
  <threadedComment ref="C5" dT="2021-06-03T10:10:36.59" personId="{AE0705C5-1109-405A-B1DC-E486553E87FF}" id="{8CA8DE3E-0D57-412E-8F81-43FF1F414BA5}">
    <text>Enter nodename based on nodetype present in TOL</text>
  </threadedComment>
  <threadedComment ref="C6" dT="2021-06-03T10:10:36.59" personId="{AE0705C5-1109-405A-B1DC-E486553E87FF}" id="{3A22C2BA-A8B2-4278-9438-4F408CE69782}">
    <text>Enter nodename based on nodetype present in TOL</text>
  </threadedComment>
  <threadedComment ref="C7" dT="2021-06-03T10:10:36.59" personId="{AE0705C5-1109-405A-B1DC-E486553E87FF}" id="{2B3F3B6F-95AD-4466-84E2-309FA0BA58B9}">
    <text>Enter nodename based on nodetype present in TOL</text>
  </threadedComment>
  <threadedComment ref="C8" dT="2021-06-03T10:10:36.59" personId="{AE0705C5-1109-405A-B1DC-E486553E87FF}" id="{B0E5462F-704E-4EFC-91D9-238B9CB306CA}">
    <text>Enter nodename based on nodetype present in TOL</text>
  </threadedComment>
  <threadedComment ref="C9" dT="2021-06-03T10:10:36.59" personId="{AE0705C5-1109-405A-B1DC-E486553E87FF}" id="{CF887F3B-0C1D-420A-AFEB-9A0FD1D394C0}">
    <text>Enter nodename based on nodetype present in TOL</text>
  </threadedComment>
  <threadedComment ref="C10" dT="2021-06-03T10:10:36.59" personId="{AE0705C5-1109-405A-B1DC-E486553E87FF}" id="{36379872-DDAA-4002-92E5-4B73D605D72E}">
    <text>Enter nodename based on nodetype present in TOL</text>
  </threadedComment>
  <threadedComment ref="C11" dT="2021-06-03T10:10:36.59" personId="{AE0705C5-1109-405A-B1DC-E486553E87FF}" id="{3ACAD1AA-F88C-457C-B47F-867323F2C645}">
    <text>Enter nodename based on nodetype present in TOL</text>
  </threadedComment>
  <threadedComment ref="C12" dT="2021-06-03T10:10:36.59" personId="{AE0705C5-1109-405A-B1DC-E486553E87FF}" id="{E8F3A3BC-43EC-4807-ACDE-0A3F88DD6F1F}">
    <text>Enter nodename based on nodetype present in TOL</text>
  </threadedComment>
  <threadedComment ref="C13" dT="2021-06-03T10:10:36.59" personId="{AE0705C5-1109-405A-B1DC-E486553E87FF}" id="{83C8F865-D707-4AB2-8D61-040769B455DA}">
    <text>Enter nodename based on nodetype present in TOL</text>
  </threadedComment>
  <threadedComment ref="G13" dT="2022-11-18T05:48:14.59" personId="{2F7453FD-D284-42D3-9842-226A7BDB3407}" id="{1090A5BB-9B72-43C3-B043-B5AB6F162F46}">
    <text>If you select this option as TRUE it will clear all alarms from specified node ,so choose it cautiously ,by default it will be false</text>
  </threadedComment>
  <threadedComment ref="C14" dT="2021-06-03T10:10:36.59" personId="{AE0705C5-1109-405A-B1DC-E486553E87FF}" id="{E74D6CF2-DE48-4F57-8CEF-8C4585E0C25E}">
    <text>Enter nodename based on nodetype present in TOL</text>
  </threadedComment>
  <threadedComment ref="C15" dT="2021-06-03T10:10:36.59" personId="{AE0705C5-1109-405A-B1DC-E486553E87FF}" id="{CD6A918F-060D-4424-B924-020AD972BB6F}">
    <text>Enter nodename based on nodetype present in TOL</text>
  </threadedComment>
  <threadedComment ref="C16" dT="2021-06-03T10:10:36.59" personId="{AE0705C5-1109-405A-B1DC-E486553E87FF}" id="{1CAE9182-7E61-49EA-85C5-7A3E1D5AFF52}">
    <text>Enter nodename based on nodetype present in TOL</text>
  </threadedComment>
  <threadedComment ref="C17" dT="2021-06-03T10:10:36.59" personId="{AE0705C5-1109-405A-B1DC-E486553E87FF}" id="{DC76E39E-7C7C-4679-9246-82EFF26BFAE0}">
    <text>Enter nodename based on nodetype present in TOL</text>
  </threadedComment>
  <threadedComment ref="C18" dT="2021-06-03T10:10:36.59" personId="{AE0705C5-1109-405A-B1DC-E486553E87FF}" id="{605E4B06-DC20-4D6B-9B7B-C5A99C273E23}">
    <text>Enter nodename based on nodetype present in TOL</text>
  </threadedComment>
  <threadedComment ref="C19" dT="2021-06-03T10:10:36.59" personId="{AE0705C5-1109-405A-B1DC-E486553E87FF}" id="{E353CEF4-2CC5-4BE2-B42D-CDE1BB2C4661}">
    <text>Enter nodename based on nodetype present in TOL</text>
  </threadedComment>
  <threadedComment ref="D19" dT="2021-06-03T11:23:26.88" personId="{AE0705C5-1109-405A-B1DC-E486553E87FF}" id="{CA365E43-9A28-4414-8B19-DC77E3BA539F}">
    <text>Enter a name to create a Alarm route</text>
  </threadedComment>
  <threadedComment ref="C20" dT="2021-06-03T10:10:36.59" personId="{AE0705C5-1109-405A-B1DC-E486553E87FF}" id="{AEA9A2D3-F3BC-4317-8A62-75E4AA20104E}">
    <text>Enter nodename based on nodetype present in TOL</text>
  </threadedComment>
  <threadedComment ref="C21" dT="2021-06-03T10:10:36.59" personId="{AE0705C5-1109-405A-B1DC-E486553E87FF}" id="{B6382224-A473-4524-A814-E8ABEDE62BF4}">
    <text>Enter nodename based on nodetype present in TOL</text>
  </threadedComment>
  <threadedComment ref="D21" dT="2021-06-03T11:23:26.88" personId="{AE0705C5-1109-405A-B1DC-E486553E87FF}" id="{55C2317F-6979-463D-A2C7-0985DACB6019}">
    <text>Enter a name to create a Alarm route</text>
  </threadedComment>
  <threadedComment ref="C22" dT="2021-06-03T10:10:36.59" personId="{AE0705C5-1109-405A-B1DC-E486553E87FF}" id="{668C9C9F-541D-4021-8A76-642FDFB7572B}">
    <text>Enter nodename based on nodetype present in TOL</text>
  </threadedComment>
  <threadedComment ref="C23" dT="2021-06-03T10:10:36.59" personId="{AE0705C5-1109-405A-B1DC-E486553E87FF}" id="{0EBF511E-DFFB-4B76-B44A-5AB9A9666302}">
    <text>Enter nodename based on nodetype present in TOL</text>
  </threadedComment>
  <threadedComment ref="C24" dT="2021-06-03T10:10:36.59" personId="{AE0705C5-1109-405A-B1DC-E486553E87FF}" id="{9B2DED4F-F78C-4A5C-9907-C1C606AFC915}">
    <text>Enter nodename based on nodetype present in TOL</text>
  </threadedComment>
  <threadedComment ref="C25" dT="2021-06-03T10:10:36.59" personId="{AE0705C5-1109-405A-B1DC-E486553E87FF}" id="{D4D58796-E972-402E-A823-52E50EB3030B}">
    <text>Enter nodename based on nodetype present in TOL</text>
  </threadedComment>
  <threadedComment ref="C26" dT="2021-06-03T10:10:36.59" personId="{AE0705C5-1109-405A-B1DC-E486553E87FF}" id="{03C3C188-0F8B-49F6-963C-FA7B4B7A7A91}">
    <text>Enter nodename based on nodetype present in TOL</text>
  </threadedComment>
  <threadedComment ref="C27" dT="2021-06-03T10:10:36.59" personId="{AE0705C5-1109-405A-B1DC-E486553E87FF}" id="{C37703E9-EAF9-4B40-BBEA-BB633749DA05}">
    <text>Enter nodename based on nodetype present in TOL</text>
  </threadedComment>
  <threadedComment ref="C28" dT="2021-06-03T10:10:36.59" personId="{AE0705C5-1109-405A-B1DC-E486553E87FF}" id="{5D9ECDB2-89AD-467D-B0E8-EE155F187B48}">
    <text>Enter nodename based on nodetype present in TOL</text>
  </threadedComment>
  <threadedComment ref="C29" dT="2021-06-03T10:10:36.59" personId="{AE0705C5-1109-405A-B1DC-E486553E87FF}" id="{B4EE2EE1-590A-412D-9928-E56945827D38}">
    <text>Enter nodename based on nodetype present in TOL</text>
  </threadedComment>
  <threadedComment ref="C30" dT="2021-06-03T10:10:36.59" personId="{AE0705C5-1109-405A-B1DC-E486553E87FF}" id="{7640A6E9-F6F8-4F8C-BAA3-080B9A3C40A0}">
    <text>Enter nodename based on nodetype present in TOL</text>
  </threadedComment>
  <threadedComment ref="C31" dT="2021-06-03T10:10:36.59" personId="{AE0705C5-1109-405A-B1DC-E486553E87FF}" id="{91A104B1-9E80-4FC9-9D0D-3F3951116C34}">
    <text>Enter nodename based on nodetype present in TOL</text>
  </threadedComment>
  <threadedComment ref="C32" dT="2021-06-03T10:10:36.59" personId="{AE0705C5-1109-405A-B1DC-E486553E87FF}" id="{052DFB44-920D-4340-839A-AB7177B382F5}">
    <text>Enter nodename based on nodetype present in TOL</text>
  </threadedComment>
  <threadedComment ref="C33" dT="2021-06-03T10:10:36.59" personId="{AE0705C5-1109-405A-B1DC-E486553E87FF}" id="{4F45A440-540F-4696-B373-D04755C424F2}">
    <text>Enter nodename based on nodetype present in TOL</text>
  </threadedComment>
  <threadedComment ref="C34" dT="2021-06-03T10:10:36.59" personId="{AE0705C5-1109-405A-B1DC-E486553E87FF}" id="{C83BA51E-5C58-45AC-AD30-835FC3EE3138}">
    <text>Enter nodename based on nodetype present in TOL</text>
  </threadedComment>
  <threadedComment ref="E34" dT="2021-06-03T11:23:26.88" personId="{AE0705C5-1109-405A-B1DC-E486553E87FF}" id="{61DF8922-B8E4-4E72-83FA-FBE708020966}">
    <text>Enter a name to create a Alarm route</text>
  </threadedComment>
  <threadedComment ref="C35" dT="2021-06-03T10:10:36.59" personId="{AE0705C5-1109-405A-B1DC-E486553E87FF}" id="{24D10C63-BCB2-40DF-B552-AC77126094D9}">
    <text>Enter nodename based on nodetype present in TOL</text>
  </threadedComment>
  <threadedComment ref="C36" dT="2021-06-03T10:10:36.59" personId="{AE0705C5-1109-405A-B1DC-E486553E87FF}" id="{0D13ECB9-2BD4-4318-ADB1-AFA70FEDEAD7}">
    <text>Enter nodename based on nodetype present in TOL</text>
  </threadedComment>
  <threadedComment ref="C37" dT="2021-06-03T10:10:36.59" personId="{AE0705C5-1109-405A-B1DC-E486553E87FF}" id="{34100CFA-34BF-411D-B88C-7ABF0D69FE04}">
    <text>Enter nodename based on nodetype present in TOL</text>
  </threadedComment>
  <threadedComment ref="C38" dT="2021-06-03T10:10:36.59" personId="{AE0705C5-1109-405A-B1DC-E486553E87FF}" id="{587F6739-CFA7-4684-97A2-CE98FEB4217F}">
    <text>Enter nodename based on nodetype present in TOL</text>
  </threadedComment>
  <threadedComment ref="C39" dT="2021-06-03T10:10:36.59" personId="{AE0705C5-1109-405A-B1DC-E486553E87FF}" id="{BE613A0B-0184-4B02-9EB4-1CA8FD4A1426}">
    <text>Enter nodename based on nodetype present in TOL</text>
  </threadedComment>
</ThreadedComments>
</file>

<file path=xl/threadedComments/threadedComment20.xml><?xml version="1.0" encoding="utf-8"?>
<ThreadedComments xmlns="http://schemas.microsoft.com/office/spreadsheetml/2018/threadedcomments" xmlns:x="http://schemas.openxmlformats.org/spreadsheetml/2006/main">
  <threadedComment ref="D7" dT="2023-01-17T07:01:05.03" personId="{2F7453FD-D284-42D3-9842-226A7BDB3407}" id="{1066A3A3-8568-494C-80A0-F27A8FBD0B6A}">
    <text>Enter ENM admin username</text>
  </threadedComment>
  <threadedComment ref="E7" dT="2023-01-17T07:01:19.97" personId="{2F7453FD-D284-42D3-9842-226A7BDB3407}" id="{AEF44220-7931-4C47-9B64-CA2FA703EB0F}">
    <text>Enter ENM admin Password</text>
  </threadedComment>
  <threadedComment ref="C9" dT="2021-06-03T10:10:36.59" personId="{AE0705C5-1109-405A-B1DC-E486553E87FF}" id="{3481CD38-80CF-4126-AC9B-694E45C5D041}">
    <text>Enter nodename based on nodetype present in TOL</text>
  </threadedComment>
  <threadedComment ref="C10" dT="2021-06-03T10:10:36.59" personId="{AE0705C5-1109-405A-B1DC-E486553E87FF}" id="{CAB9EFEF-3A77-450A-9F4F-1C419156B0FC}">
    <text>Enter nodename based on nodetype present in TOL</text>
  </threadedComment>
  <threadedComment ref="C13" dT="2021-06-03T10:10:36.59" personId="{AE0705C5-1109-405A-B1DC-E486553E87FF}" id="{CAB593DD-FBDF-46AE-A8E9-D13DA4E4920E}">
    <text>Enter nodename based on nodetype present in TOL</text>
  </threadedComment>
</ThreadedComments>
</file>

<file path=xl/threadedComments/threadedComment21.xml><?xml version="1.0" encoding="utf-8"?>
<ThreadedComments xmlns="http://schemas.microsoft.com/office/spreadsheetml/2018/threadedcomments" xmlns:x="http://schemas.openxmlformats.org/spreadsheetml/2006/main">
  <threadedComment ref="C2" dT="2021-06-03T10:10:36.59" personId="{AE0705C5-1109-405A-B1DC-E486553E87FF}" id="{AB3AEC83-5B36-459E-8AE6-05692BA36855}">
    <text>Enter nodename based on nodetype present in TOL</text>
  </threadedComment>
  <threadedComment ref="C3" dT="2021-06-03T10:10:36.59" personId="{AE0705C5-1109-405A-B1DC-E486553E87FF}" id="{175D3B3B-1E4A-47EF-BD70-49BEF16220F0}">
    <text>Enter nodename based on nodetype present in TOL</text>
  </threadedComment>
  <threadedComment ref="C4" dT="2021-06-03T10:10:36.59" personId="{AE0705C5-1109-405A-B1DC-E486553E87FF}" id="{D66816FA-F0B0-4A47-8981-1D05229D7122}">
    <text>Enter nodename based on nodetype present in TOL</text>
  </threadedComment>
  <threadedComment ref="C5" dT="2021-06-03T10:10:36.59" personId="{AE0705C5-1109-405A-B1DC-E486553E87FF}" id="{DB76F284-8FD6-4714-97EE-ECB6F83CBEB1}">
    <text>Enter nodename based on nodetype present in TOL</text>
  </threadedComment>
  <threadedComment ref="C6" dT="2021-06-03T10:10:36.59" personId="{AE0705C5-1109-405A-B1DC-E486553E87FF}" id="{68AA1A50-6676-4D85-9E12-0B6F47188A2C}">
    <text>Enter nodename based on nodetype present in TOL</text>
  </threadedComment>
  <threadedComment ref="C7" dT="2021-06-03T10:10:36.59" personId="{AE0705C5-1109-405A-B1DC-E486553E87FF}" id="{804CA030-0BDE-4CBB-BB9A-68685E03A6A3}">
    <text>Enter nodename based on nodetype present in TOL</text>
  </threadedComment>
  <threadedComment ref="F7" dT="2021-06-03T11:44:02.29" personId="{AE0705C5-1109-405A-B1DC-E486553E87FF}" id="{9E2D3952-C211-4DEC-BC40-FA3AE5220428}">
    <text>Enter a report name to create</text>
  </threadedComment>
  <threadedComment ref="G7" dT="2021-06-03T11:44:26.64" personId="{AE0705C5-1109-405A-B1DC-E486553E87FF}" id="{D1DA26A4-EC5D-41A9-844F-D3F7E9EC8428}">
    <text>Give a Category for NHC report(PRE_INSTALL OR PRE_UPGRADE OR POST_UPGRADE )</text>
  </threadedComment>
  <threadedComment ref="C8" dT="2021-06-03T10:10:36.59" personId="{AE0705C5-1109-405A-B1DC-E486553E87FF}" id="{A8F3A327-CC48-4060-A416-A7F464BDC96B}">
    <text>Enter nodename based on nodetype present in TOL</text>
  </threadedComment>
  <threadedComment ref="C9" dT="2021-06-03T10:10:36.59" personId="{AE0705C5-1109-405A-B1DC-E486553E87FF}" id="{9E8D1C2F-B617-4327-B11C-0C307D8DC195}">
    <text>Enter nodename based on nodetype present in TOL</text>
  </threadedComment>
  <threadedComment ref="C11" dT="2021-06-03T10:10:36.59" personId="{AE0705C5-1109-405A-B1DC-E486553E87FF}" id="{D7B77AFA-4E14-4493-A015-F726F7220F60}">
    <text>Enter nodename based on nodetype present in TOL</text>
  </threadedComment>
</ThreadedComments>
</file>

<file path=xl/threadedComments/threadedComment22.xml><?xml version="1.0" encoding="utf-8"?>
<ThreadedComments xmlns="http://schemas.microsoft.com/office/spreadsheetml/2018/threadedcomments" xmlns:x="http://schemas.openxmlformats.org/spreadsheetml/2006/main">
  <threadedComment ref="C2" dT="2022-11-07T10:45:31.29" personId="{2F7453FD-D284-42D3-9842-226A7BDB3407}" id="{0FEE6984-3AB0-4B13-8B5E-F4AD6C842038}">
    <text>USE AT YOUR OWN RISK. Be aware before running this ,all the PMIC subscription,NHC collection ,SHM reports etc as per testcases will be deleted from system as part of cleanup .DO NOT PUT ANY USERNAME WHICH IS USED FOR ACTIVITY OTHER THAN CTAF EXECUTION.</text>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1.bin"/><Relationship Id="rId1" Type="http://schemas.openxmlformats.org/officeDocument/2006/relationships/hyperlink" Target="mailto:Eric@123"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2.bin"/><Relationship Id="rId1" Type="http://schemas.openxmlformats.org/officeDocument/2006/relationships/hyperlink" Target="mailto:Eric@123" TargetMode="Externa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8" Type="http://schemas.openxmlformats.org/officeDocument/2006/relationships/hyperlink" Target="mailto:Eric@123" TargetMode="External"/><Relationship Id="rId13" Type="http://schemas.microsoft.com/office/2017/10/relationships/threadedComment" Target="../threadedComments/threadedComment5.xml"/><Relationship Id="rId3" Type="http://schemas.openxmlformats.org/officeDocument/2006/relationships/hyperlink" Target="mailto:Eric@123" TargetMode="External"/><Relationship Id="rId7" Type="http://schemas.openxmlformats.org/officeDocument/2006/relationships/hyperlink" Target="mailto:Eric@123" TargetMode="External"/><Relationship Id="rId12" Type="http://schemas.openxmlformats.org/officeDocument/2006/relationships/comments" Target="../comments5.xml"/><Relationship Id="rId2" Type="http://schemas.openxmlformats.org/officeDocument/2006/relationships/hyperlink" Target="mailto:Eric@123" TargetMode="External"/><Relationship Id="rId1" Type="http://schemas.openxmlformats.org/officeDocument/2006/relationships/hyperlink" Target="mailto:Eric@123" TargetMode="External"/><Relationship Id="rId6" Type="http://schemas.openxmlformats.org/officeDocument/2006/relationships/hyperlink" Target="mailto:Eric@123" TargetMode="External"/><Relationship Id="rId11" Type="http://schemas.openxmlformats.org/officeDocument/2006/relationships/vmlDrawing" Target="../drawings/vmlDrawing5.vml"/><Relationship Id="rId5" Type="http://schemas.openxmlformats.org/officeDocument/2006/relationships/hyperlink" Target="mailto:Eric@123" TargetMode="External"/><Relationship Id="rId10" Type="http://schemas.openxmlformats.org/officeDocument/2006/relationships/printerSettings" Target="../printerSettings/printerSettings3.bin"/><Relationship Id="rId4" Type="http://schemas.openxmlformats.org/officeDocument/2006/relationships/hyperlink" Target="mailto:Eric@123" TargetMode="External"/><Relationship Id="rId9" Type="http://schemas.openxmlformats.org/officeDocument/2006/relationships/hyperlink" Target="mailto:Eric@123"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6.bin"/><Relationship Id="rId1" Type="http://schemas.openxmlformats.org/officeDocument/2006/relationships/hyperlink" Target="mailto:Ctaf@TP1235" TargetMode="External"/><Relationship Id="rId5" Type="http://schemas.microsoft.com/office/2017/10/relationships/threadedComment" Target="../threadedComments/threadedComment9.xml"/><Relationship Id="rId4"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printerSettings" Target="../printerSettings/printerSettings7.bin"/><Relationship Id="rId1" Type="http://schemas.openxmlformats.org/officeDocument/2006/relationships/hyperlink" Target="mailto:Eric@123" TargetMode="External"/><Relationship Id="rId5" Type="http://schemas.microsoft.com/office/2017/10/relationships/threadedComment" Target="../threadedComments/threadedComment12.xml"/><Relationship Id="rId4" Type="http://schemas.openxmlformats.org/officeDocument/2006/relationships/comments" Target="../comments13.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8.bin"/><Relationship Id="rId4" Type="http://schemas.microsoft.com/office/2017/10/relationships/threadedComment" Target="../threadedComments/threadedComment13.xml"/></Relationships>
</file>

<file path=xl/worksheets/_rels/sheet19.xml.rels><?xml version="1.0" encoding="UTF-8" standalone="yes"?>
<Relationships xmlns="http://schemas.openxmlformats.org/package/2006/relationships"><Relationship Id="rId8" Type="http://schemas.openxmlformats.org/officeDocument/2006/relationships/hyperlink" Target="mailto:Er1c550n@1234568" TargetMode="External"/><Relationship Id="rId13" Type="http://schemas.openxmlformats.org/officeDocument/2006/relationships/comments" Target="../comments15.xml"/><Relationship Id="rId3" Type="http://schemas.openxmlformats.org/officeDocument/2006/relationships/hyperlink" Target="mailto:Er1c550n@1234568" TargetMode="External"/><Relationship Id="rId7" Type="http://schemas.openxmlformats.org/officeDocument/2006/relationships/hyperlink" Target="mailto:Er1c550n@1234568" TargetMode="External"/><Relationship Id="rId12" Type="http://schemas.openxmlformats.org/officeDocument/2006/relationships/vmlDrawing" Target="../drawings/vmlDrawing15.vml"/><Relationship Id="rId2" Type="http://schemas.openxmlformats.org/officeDocument/2006/relationships/hyperlink" Target="mailto:efg.ijk@ericsson.com" TargetMode="External"/><Relationship Id="rId1" Type="http://schemas.openxmlformats.org/officeDocument/2006/relationships/hyperlink" Target="mailto:efg.ijk@ericsson.com" TargetMode="External"/><Relationship Id="rId6" Type="http://schemas.openxmlformats.org/officeDocument/2006/relationships/hyperlink" Target="mailto:Er1c550n@1234568" TargetMode="External"/><Relationship Id="rId11" Type="http://schemas.openxmlformats.org/officeDocument/2006/relationships/printerSettings" Target="../printerSettings/printerSettings9.bin"/><Relationship Id="rId5" Type="http://schemas.openxmlformats.org/officeDocument/2006/relationships/hyperlink" Target="mailto:Er1c550n@1234568" TargetMode="External"/><Relationship Id="rId10" Type="http://schemas.openxmlformats.org/officeDocument/2006/relationships/hyperlink" Target="mailto:Er1c550n@1234568" TargetMode="External"/><Relationship Id="rId4" Type="http://schemas.openxmlformats.org/officeDocument/2006/relationships/hyperlink" Target="mailto:Er1c550n@1234568" TargetMode="External"/><Relationship Id="rId9" Type="http://schemas.openxmlformats.org/officeDocument/2006/relationships/hyperlink" Target="mailto:Er1c550n@1234568" TargetMode="External"/><Relationship Id="rId14" Type="http://schemas.microsoft.com/office/2017/10/relationships/threadedComment" Target="../threadedComments/threadedComment14.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1.bin"/><Relationship Id="rId4" Type="http://schemas.microsoft.com/office/2017/10/relationships/threadedComment" Target="../threadedComments/threadedComment15.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2.bin"/><Relationship Id="rId4" Type="http://schemas.microsoft.com/office/2017/10/relationships/threadedComment" Target="../threadedComments/threadedComment16.xml"/></Relationships>
</file>

<file path=xl/worksheets/_rels/sheet26.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16" Type="http://schemas.openxmlformats.org/officeDocument/2006/relationships/ctrlProp" Target="../ctrlProps/ctrlProp1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66" Type="http://schemas.openxmlformats.org/officeDocument/2006/relationships/ctrlProp" Target="../ctrlProps/ctrlProp63.xml"/><Relationship Id="rId74" Type="http://schemas.openxmlformats.org/officeDocument/2006/relationships/ctrlProp" Target="../ctrlProps/ctrlProp71.xml"/><Relationship Id="rId79" Type="http://schemas.microsoft.com/office/2017/10/relationships/threadedComment" Target="../threadedComments/threadedComment17.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3" Type="http://schemas.openxmlformats.org/officeDocument/2006/relationships/vmlDrawing" Target="../drawings/vmlDrawing18.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1" Type="http://schemas.openxmlformats.org/officeDocument/2006/relationships/printerSettings" Target="../printerSettings/printerSettings13.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omments" Target="../comments18.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8.xml"/><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14.bin"/><Relationship Id="rId4" Type="http://schemas.microsoft.com/office/2017/10/relationships/threadedComment" Target="../threadedComments/threadedComment19.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15.bin"/><Relationship Id="rId4" Type="http://schemas.microsoft.com/office/2017/10/relationships/threadedComment" Target="../threadedComments/threadedComment20.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16.bin"/><Relationship Id="rId4" Type="http://schemas.microsoft.com/office/2017/10/relationships/threadedComment" Target="../threadedComments/threadedComment21.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17.bin"/><Relationship Id="rId4" Type="http://schemas.microsoft.com/office/2017/10/relationships/threadedComment" Target="../threadedComments/threadedComment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6"/>
  <sheetViews>
    <sheetView workbookViewId="0">
      <selection activeCell="B19" sqref="B19"/>
    </sheetView>
  </sheetViews>
  <sheetFormatPr defaultRowHeight="14.35" x14ac:dyDescent="0.5"/>
  <cols>
    <col min="1" max="1" width="20.3515625" customWidth="1"/>
    <col min="2" max="2" width="22.87890625" customWidth="1"/>
    <col min="3" max="3" width="25.3515625" customWidth="1"/>
  </cols>
  <sheetData>
    <row r="1" spans="1:3" x14ac:dyDescent="0.5">
      <c r="A1" s="188" t="s">
        <v>157</v>
      </c>
      <c r="B1" s="189"/>
      <c r="C1" s="189"/>
    </row>
    <row r="2" spans="1:3" x14ac:dyDescent="0.5">
      <c r="A2" s="14" t="s">
        <v>161</v>
      </c>
      <c r="B2" s="14" t="s">
        <v>160</v>
      </c>
      <c r="C2" s="14" t="s">
        <v>162</v>
      </c>
    </row>
    <row r="3" spans="1:3" x14ac:dyDescent="0.5">
      <c r="A3" s="13">
        <v>1</v>
      </c>
      <c r="B3" s="2"/>
      <c r="C3" s="8" t="s">
        <v>158</v>
      </c>
    </row>
    <row r="4" spans="1:3" x14ac:dyDescent="0.5">
      <c r="A4" s="13">
        <v>2</v>
      </c>
      <c r="B4" s="4"/>
      <c r="C4" s="8" t="s">
        <v>159</v>
      </c>
    </row>
    <row r="5" spans="1:3" x14ac:dyDescent="0.5">
      <c r="A5" s="13">
        <v>3</v>
      </c>
      <c r="B5" s="3"/>
      <c r="C5" s="8" t="s">
        <v>163</v>
      </c>
    </row>
    <row r="6" spans="1:3" x14ac:dyDescent="0.5">
      <c r="A6" s="13">
        <v>4</v>
      </c>
      <c r="B6" s="6"/>
      <c r="C6" s="8" t="s">
        <v>164</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552E-EF9B-4B6C-BEC8-7B893F5C95E3}">
  <dimension ref="B2:H36"/>
  <sheetViews>
    <sheetView topLeftCell="A7" zoomScale="77" workbookViewId="0">
      <selection activeCell="B23" sqref="B23"/>
    </sheetView>
  </sheetViews>
  <sheetFormatPr defaultRowHeight="14.35" x14ac:dyDescent="0.5"/>
  <cols>
    <col min="2" max="2" width="32.64453125" customWidth="1"/>
  </cols>
  <sheetData>
    <row r="2" spans="2:8" ht="14.7" thickBot="1" x14ac:dyDescent="0.55000000000000004"/>
    <row r="3" spans="2:8" ht="61.35" x14ac:dyDescent="0.5">
      <c r="B3" s="164" t="s">
        <v>1457</v>
      </c>
      <c r="C3" s="165" t="s">
        <v>1458</v>
      </c>
      <c r="D3" s="164" t="s">
        <v>746</v>
      </c>
      <c r="E3" s="164" t="s">
        <v>792</v>
      </c>
      <c r="F3" s="166" t="s">
        <v>1459</v>
      </c>
      <c r="G3" s="167" t="s">
        <v>1460</v>
      </c>
      <c r="H3" s="168" t="s">
        <v>1461</v>
      </c>
    </row>
    <row r="4" spans="2:8" ht="17.7" x14ac:dyDescent="0.85">
      <c r="B4" s="169" t="s">
        <v>1462</v>
      </c>
      <c r="C4" s="170">
        <f>SUM(D4,E4)</f>
        <v>66</v>
      </c>
      <c r="D4" s="171">
        <f>COUNTIF(PMIC!AA:AA, "GUI")</f>
        <v>66</v>
      </c>
      <c r="E4" s="171">
        <f>COUNTIF(PMIC!AA:AA, "CLI")</f>
        <v>0</v>
      </c>
      <c r="F4" s="172">
        <f>COUNTIF(PMIC!BB:BB, "Yes")</f>
        <v>0</v>
      </c>
      <c r="G4" s="184">
        <f>COUNTIFS(PMIC!A:A, "Y", PMIC!AB:AB, "No")</f>
        <v>45</v>
      </c>
      <c r="H4" s="185">
        <f>COUNTIFS(PMIC!A:A, "Y", PMIC!AB:AB, "Yes")</f>
        <v>0</v>
      </c>
    </row>
    <row r="5" spans="2:8" ht="17.7" x14ac:dyDescent="0.85">
      <c r="B5" s="169" t="s">
        <v>1463</v>
      </c>
      <c r="C5" s="170">
        <f t="shared" ref="C5:C20" si="0">SUM(D5,E5)</f>
        <v>3</v>
      </c>
      <c r="D5" s="136">
        <f>COUNTIF('Add Node'!K:K, "GUI")</f>
        <v>3</v>
      </c>
      <c r="E5" s="136">
        <f>COUNTIF('Add Node'!K:K, "CLI")</f>
        <v>0</v>
      </c>
      <c r="F5" s="172">
        <f>COUNTIF('Add Node'!L:L, "Yes")</f>
        <v>0</v>
      </c>
      <c r="G5" s="184">
        <f>COUNTIFS('Add Node'!A:A, "Y", 'Add Node'!L:L, "No")</f>
        <v>3</v>
      </c>
      <c r="H5" s="185">
        <f>COUNTIFS('Add Node'!A:A, "Y", 'Add Node'!L:L, "Yes")</f>
        <v>0</v>
      </c>
    </row>
    <row r="6" spans="2:8" ht="17.7" x14ac:dyDescent="0.85">
      <c r="B6" s="169" t="s">
        <v>1464</v>
      </c>
      <c r="C6" s="170">
        <f>SUM(D6,E6)</f>
        <v>38</v>
      </c>
      <c r="D6" s="136">
        <f>COUNTIF(FM!S:S, "GUI")</f>
        <v>38</v>
      </c>
      <c r="E6" s="136">
        <f>COUNTIF(FM!S:S, "CLI")</f>
        <v>0</v>
      </c>
      <c r="F6" s="172">
        <f>COUNTIF(FM!T:T, "Yes")</f>
        <v>1</v>
      </c>
      <c r="G6" s="184">
        <f>COUNTIFS(FM!A:A, "Y", FM!T:T, "No")</f>
        <v>37</v>
      </c>
      <c r="H6" s="185">
        <f>COUNTIFS(FM!A:A, "Y", FM!T:T, "Yes")</f>
        <v>1</v>
      </c>
    </row>
    <row r="7" spans="2:8" ht="17.7" x14ac:dyDescent="0.85">
      <c r="B7" s="169" t="s">
        <v>1465</v>
      </c>
      <c r="C7" s="170">
        <f>SUM(D7,E7)</f>
        <v>0</v>
      </c>
      <c r="D7" s="136">
        <f>COUNTIF(SHM!T:T, "GUI")</f>
        <v>0</v>
      </c>
      <c r="E7" s="136">
        <f>COUNTIF(SHM!T:T, "CLI")</f>
        <v>0</v>
      </c>
      <c r="F7" s="172">
        <f>COUNTIF(SHM!U:U, "Yes")</f>
        <v>0</v>
      </c>
      <c r="G7" s="184">
        <f>COUNTIFS(SHM!A:A, "Y", SHM!U:U, "No")</f>
        <v>0</v>
      </c>
      <c r="H7" s="185">
        <f>COUNTIFS(SHM!A:A, "Y", SHM!U:U, "Yes")</f>
        <v>0</v>
      </c>
    </row>
    <row r="8" spans="2:8" ht="17.7" x14ac:dyDescent="0.85">
      <c r="B8" s="169" t="s">
        <v>1466</v>
      </c>
      <c r="C8" s="170">
        <f t="shared" si="0"/>
        <v>10</v>
      </c>
      <c r="D8" s="136">
        <f>COUNTIF(ClientScripting!O:O, "GUI")</f>
        <v>1</v>
      </c>
      <c r="E8" s="136">
        <f>COUNTIF(ClientScripting!O:O, "CLI")</f>
        <v>9</v>
      </c>
      <c r="F8" s="172">
        <f>COUNTIF(ClientScripting!P:P, "Yes")</f>
        <v>1</v>
      </c>
      <c r="G8" s="184">
        <f>COUNTIFS(ClientScripting!A:A, "Y", ClientScripting!P:P, "No")</f>
        <v>9</v>
      </c>
      <c r="H8" s="185">
        <f>COUNTIFS(ClientScripting!A:A, "Y", ClientScripting!P:P, "Yes")</f>
        <v>1</v>
      </c>
    </row>
    <row r="9" spans="2:8" ht="17.7" x14ac:dyDescent="0.85">
      <c r="B9" s="169" t="s">
        <v>1467</v>
      </c>
      <c r="C9" s="170">
        <f t="shared" si="0"/>
        <v>9</v>
      </c>
      <c r="D9" s="136">
        <f>COUNTIF(LV!F:F, "GUI")</f>
        <v>9</v>
      </c>
      <c r="E9" s="136">
        <f>COUNTIF(LV!F:F, "CLI")</f>
        <v>0</v>
      </c>
      <c r="F9" s="172">
        <f>COUNTIF(LV!G:G, "Yes")</f>
        <v>0</v>
      </c>
      <c r="G9" s="184">
        <f>COUNTIFS(LV!A:A, "Y", LV!G:G, "No")</f>
        <v>9</v>
      </c>
      <c r="H9" s="185">
        <f>COUNTIFS(LV!A:A, "Y", LV!G:G, "Yes")</f>
        <v>0</v>
      </c>
    </row>
    <row r="10" spans="2:8" ht="17.7" x14ac:dyDescent="0.85">
      <c r="B10" s="169" t="s">
        <v>1468</v>
      </c>
      <c r="C10" s="170">
        <f t="shared" si="0"/>
        <v>12</v>
      </c>
      <c r="D10" s="136">
        <f>COUNTIF('Topology Browser'!I:I, "GUI")</f>
        <v>12</v>
      </c>
      <c r="E10" s="136">
        <f>COUNTIF('Topology Browser'!I:I, "CLI")</f>
        <v>0</v>
      </c>
      <c r="F10" s="172">
        <f>COUNTIF('Topology Browser'!J:J, "Yes")</f>
        <v>0</v>
      </c>
      <c r="G10" s="184">
        <f>COUNTIFS('Topology Browser'!A:A, "Y", 'Topology Browser'!J:J, "No")</f>
        <v>12</v>
      </c>
      <c r="H10" s="185">
        <f>COUNTIFS('Topology Browser'!A:A, "Y", 'Topology Browser'!J:J, "Yes")</f>
        <v>0</v>
      </c>
    </row>
    <row r="11" spans="2:8" ht="17.7" x14ac:dyDescent="0.85">
      <c r="B11" s="169" t="s">
        <v>1469</v>
      </c>
      <c r="C11" s="170">
        <f t="shared" si="0"/>
        <v>18</v>
      </c>
      <c r="D11" s="136">
        <f>COUNTIF(AMOS!W:W, "GUI")</f>
        <v>11</v>
      </c>
      <c r="E11" s="136">
        <f>COUNTIF(AMOS!W:W, "CLI")</f>
        <v>7</v>
      </c>
      <c r="F11" s="172">
        <f>COUNTIF(AMOS!X:X, "Yes")</f>
        <v>2</v>
      </c>
      <c r="G11" s="184">
        <f>COUNTIFS(AMOS!A:A, "Y", AMOS!X:X, "No")</f>
        <v>16</v>
      </c>
      <c r="H11" s="185">
        <f>COUNTIFS(AMOS!A:A, "Y", AMOS!X:X, "Yes")</f>
        <v>2</v>
      </c>
    </row>
    <row r="12" spans="2:8" ht="17.7" x14ac:dyDescent="0.85">
      <c r="B12" s="169" t="s">
        <v>1470</v>
      </c>
      <c r="C12" s="170">
        <f t="shared" si="0"/>
        <v>16</v>
      </c>
      <c r="D12" s="136">
        <f>COUNTIF(NetworkExplorer!J:J, "GUI")</f>
        <v>16</v>
      </c>
      <c r="E12" s="136">
        <f>COUNTIF(NetworkExplorer!J:J, "CLI")</f>
        <v>0</v>
      </c>
      <c r="F12" s="172">
        <f>COUNTIF(NetworkExplorer!K:K, "Yes")</f>
        <v>0</v>
      </c>
      <c r="G12" s="184">
        <f>COUNTIFS(NetworkExplorer!A:A, "Y", NetworkExplorer!K:K, "No")</f>
        <v>16</v>
      </c>
      <c r="H12" s="185">
        <f>COUNTIFS(NetworkExplorer!A:A, "Y", NetworkExplorer!K:K, "Yes")</f>
        <v>0</v>
      </c>
    </row>
    <row r="13" spans="2:8" ht="17.7" x14ac:dyDescent="0.85">
      <c r="B13" s="169" t="s">
        <v>1471</v>
      </c>
      <c r="C13" s="170">
        <f>SUM(D13,E13)</f>
        <v>30</v>
      </c>
      <c r="D13" s="136">
        <f>COUNTIF(IDAM!M:M, "GUI")</f>
        <v>30</v>
      </c>
      <c r="E13" s="136">
        <f>COUNTIF(IDAM!M:M, "CLI")</f>
        <v>0</v>
      </c>
      <c r="F13" s="172">
        <f>COUNTIF(IDAM!N:N, "Yes")</f>
        <v>1</v>
      </c>
      <c r="G13" s="184">
        <f>COUNTIFS(IDAM!A:A, "Y", IDAM!N:N, "No")</f>
        <v>29</v>
      </c>
      <c r="H13" s="185">
        <f>COUNTIFS(IDAM!A:A, "Y", IDAM!N:N, "Yes")</f>
        <v>1</v>
      </c>
    </row>
    <row r="14" spans="2:8" ht="17.7" x14ac:dyDescent="0.85">
      <c r="B14" s="169" t="s">
        <v>1472</v>
      </c>
      <c r="C14" s="170">
        <f t="shared" si="0"/>
        <v>3</v>
      </c>
      <c r="D14" s="136">
        <f>COUNTIF('CM Add and Synchronize Node'!P:P, "GUI")</f>
        <v>3</v>
      </c>
      <c r="E14" s="136">
        <f>COUNTIF('CM Add and Synchronize Node'!P:P, "CLI")</f>
        <v>0</v>
      </c>
      <c r="F14" s="172">
        <f>COUNTIF('CM Add and Synchronize Node'!Q:Q, "Yes")</f>
        <v>3</v>
      </c>
      <c r="G14" s="184">
        <f>COUNTIFS('CM Add and Synchronize Node'!A:A, "Y", 'CM Add and Synchronize Node'!Q:Q, "No")</f>
        <v>0</v>
      </c>
      <c r="H14" s="185">
        <f>COUNTIFS('CM Add and Synchronize Node'!A:A, "Y", 'CM Add and Synchronize Node'!Q:Q, "Yes")</f>
        <v>3</v>
      </c>
    </row>
    <row r="15" spans="2:8" ht="17.7" x14ac:dyDescent="0.85">
      <c r="B15" s="169" t="s">
        <v>1473</v>
      </c>
      <c r="C15" s="170">
        <f t="shared" si="0"/>
        <v>8</v>
      </c>
      <c r="D15" s="136">
        <f>COUNTIF('License Control and Monitoring'!F:F, "GUI")</f>
        <v>7</v>
      </c>
      <c r="E15" s="136">
        <f>COUNTIF('License Control and Monitoring'!F:F, "CLI")</f>
        <v>1</v>
      </c>
      <c r="F15" s="172">
        <f>COUNTIF('License Control and Monitoring'!G:G, "Yes")</f>
        <v>1</v>
      </c>
      <c r="G15" s="184">
        <f>COUNTIFS('License Control and Monitoring'!A:A, "Y", 'License Control and Monitoring'!G:G, "No")</f>
        <v>7</v>
      </c>
      <c r="H15" s="185">
        <f>COUNTIFS('License Control and Monitoring'!A:A, "Y", 'License Control and Monitoring'!G:G, "Yes")</f>
        <v>1</v>
      </c>
    </row>
    <row r="16" spans="2:8" ht="17.7" x14ac:dyDescent="0.85">
      <c r="B16" s="169" t="s">
        <v>1474</v>
      </c>
      <c r="C16" s="170">
        <f t="shared" si="0"/>
        <v>9</v>
      </c>
      <c r="D16" s="136">
        <f>COUNTIF(CMCLI!Q:Q, "GUI")</f>
        <v>8</v>
      </c>
      <c r="E16" s="136">
        <f>COUNTIF(CMCLI!Q:Q, "CLI")</f>
        <v>1</v>
      </c>
      <c r="F16" s="172">
        <f>COUNTIF(CMCLI!R:R, "Yes")</f>
        <v>4</v>
      </c>
      <c r="G16" s="184">
        <f>COUNTIFS(CMCLI!A:A, "Y", CMCLI!R:R, "No")</f>
        <v>5</v>
      </c>
      <c r="H16" s="185">
        <f>COUNTIFS(CMCLI!A:A, "Y", CMCLI!R:R, "Yes")</f>
        <v>4</v>
      </c>
    </row>
    <row r="17" spans="2:8" ht="17.7" x14ac:dyDescent="0.85">
      <c r="B17" s="169" t="s">
        <v>1475</v>
      </c>
      <c r="C17" s="170">
        <f t="shared" si="0"/>
        <v>43</v>
      </c>
      <c r="D17" s="136">
        <f>COUNTIF(NHM!O:O, "GUI")</f>
        <v>43</v>
      </c>
      <c r="E17" s="136">
        <f>COUNTIF(NHM!O:O, "CLI")</f>
        <v>0</v>
      </c>
      <c r="F17" s="172">
        <f>COUNTIF(NHM!P:P, "Yes")</f>
        <v>1</v>
      </c>
      <c r="G17" s="184">
        <f>COUNTIFS(NHM!A:A, "Y", NHM!P:P, "No")</f>
        <v>42</v>
      </c>
      <c r="H17" s="185">
        <f>COUNTIFS(NHM!A:A, "Y", NHM!P:P, "Yes")</f>
        <v>1</v>
      </c>
    </row>
    <row r="18" spans="2:8" ht="17.7" x14ac:dyDescent="0.85">
      <c r="B18" s="169" t="s">
        <v>1476</v>
      </c>
      <c r="C18" s="170">
        <f>SUM(D18,E18)</f>
        <v>21</v>
      </c>
      <c r="D18" s="173">
        <f>COUNTIF('Network Viewer'!P:P, "GUI")</f>
        <v>21</v>
      </c>
      <c r="E18" s="136">
        <f>COUNTIF('Network Viewer'!P:P, "CLI")</f>
        <v>0</v>
      </c>
      <c r="F18" s="172">
        <f>COUNTIF('Network Viewer'!Q:Q, "Yes")</f>
        <v>1</v>
      </c>
      <c r="G18" s="184">
        <f>COUNTIFS('Network Viewer'!A:A, "Y", 'Network Viewer'!Q:Q, "No")</f>
        <v>20</v>
      </c>
      <c r="H18" s="185">
        <f>COUNTIFS('Network Viewer'!A:A, "Y", 'Network Viewer'!Q:Q, "Yes")</f>
        <v>1</v>
      </c>
    </row>
    <row r="19" spans="2:8" ht="17.7" x14ac:dyDescent="0.85">
      <c r="B19" s="169" t="s">
        <v>1477</v>
      </c>
      <c r="C19" s="170">
        <f>SUM(D19,E19)</f>
        <v>12</v>
      </c>
      <c r="D19" s="136">
        <f>COUNTIF(NHC!U:U, "GUI")</f>
        <v>7</v>
      </c>
      <c r="E19" s="136">
        <f>COUNTIF(NHC!U:U, "CLI")</f>
        <v>5</v>
      </c>
      <c r="F19" s="172">
        <f>COUNTIF(NHC!V:V, "Yes")</f>
        <v>0</v>
      </c>
      <c r="G19" s="184">
        <f>COUNTIFS(NHC!A:A, "Y", NHC!V:V, "No")</f>
        <v>12</v>
      </c>
      <c r="H19" s="185">
        <f>COUNTIFS(NHC!A:A, "Y", NHC!V:V, "Yes")</f>
        <v>0</v>
      </c>
    </row>
    <row r="20" spans="2:8" ht="17.7" x14ac:dyDescent="0.85">
      <c r="B20" s="169" t="s">
        <v>1478</v>
      </c>
      <c r="C20" s="170">
        <f t="shared" si="0"/>
        <v>13</v>
      </c>
      <c r="D20" s="136">
        <f>COUNTIF('Security PKI'!W:W, "GUI")</f>
        <v>6</v>
      </c>
      <c r="E20" s="136">
        <f>COUNTIF('Security PKI'!W:W, "CLI")</f>
        <v>7</v>
      </c>
      <c r="F20" s="172">
        <f>COUNTIF('Security PKI'!X:X, "Yes")</f>
        <v>1</v>
      </c>
      <c r="G20" s="184">
        <f>COUNTIFS('Security PKI'!A:A, "Y", 'Security PKI'!X:X, "No")</f>
        <v>12</v>
      </c>
      <c r="H20" s="185">
        <f>COUNTIFS('Security PKI'!A:A, "Y", 'Security PKI'!X:X, "Yes")</f>
        <v>1</v>
      </c>
    </row>
    <row r="21" spans="2:8" ht="17.7" x14ac:dyDescent="0.85">
      <c r="B21" s="174" t="s">
        <v>1479</v>
      </c>
      <c r="C21" s="175">
        <f t="shared" ref="C21:C27" si="1">SUM(D21:E21)</f>
        <v>4</v>
      </c>
      <c r="D21" s="136">
        <f>COUNTIF(AutoID!G:G, "GUI")</f>
        <v>4</v>
      </c>
      <c r="E21" s="136">
        <f>COUNTIF(AutoID!G:G, "CLI")</f>
        <v>0</v>
      </c>
      <c r="F21" s="172">
        <f>COUNTIF(AutoID!H:H, "Yes")</f>
        <v>0</v>
      </c>
      <c r="G21" s="184">
        <f>COUNTIFS(AutoID!A:A, "Y", AutoID!H:H, "No")</f>
        <v>4</v>
      </c>
      <c r="H21" s="185">
        <f>COUNTIFS(AutoID!A:A, "Y", AutoID!H:H, "Yes")</f>
        <v>0</v>
      </c>
    </row>
    <row r="22" spans="2:8" ht="17.7" x14ac:dyDescent="0.85">
      <c r="B22" s="174" t="s">
        <v>1480</v>
      </c>
      <c r="C22" s="175">
        <f t="shared" si="1"/>
        <v>1</v>
      </c>
      <c r="D22" s="136">
        <f>COUNTIF(WinFIOL!F:F, "GUI")</f>
        <v>1</v>
      </c>
      <c r="E22" s="136">
        <f>COUNTIF(WinFIOL!F:F, "CLI")</f>
        <v>0</v>
      </c>
      <c r="F22" s="172">
        <f>COUNTIF(WinFIOL!G:G, "Yes")</f>
        <v>0</v>
      </c>
      <c r="G22" s="184">
        <f>COUNTIFS(WinFIOL!A:A, "Y", WinFIOL!G:G, "No")</f>
        <v>1</v>
      </c>
      <c r="H22" s="185">
        <f>COUNTIFS(WinFIOL!A:A, "Y", WinFIOL!G:G, "Yes")</f>
        <v>0</v>
      </c>
    </row>
    <row r="23" spans="2:8" ht="17.7" x14ac:dyDescent="0.85">
      <c r="B23" s="174" t="s">
        <v>1481</v>
      </c>
      <c r="C23" s="175">
        <v>5</v>
      </c>
      <c r="D23" s="136">
        <f>COUNTIF('Cell Management'!F:F, "GUI")</f>
        <v>5</v>
      </c>
      <c r="E23" s="136">
        <f>COUNTIF('Cell Management'!F:F, "CLI")</f>
        <v>0</v>
      </c>
      <c r="F23" s="172">
        <f>COUNTIF('Cell Management'!G:G, "Yes")</f>
        <v>2</v>
      </c>
      <c r="G23" s="184">
        <f>COUNTIFS('Cell Management'!A:A, "Y", 'Cell Management'!G:G, "No")</f>
        <v>3</v>
      </c>
      <c r="H23" s="185">
        <f>COUNTIFS('Cell Management'!A:A, "Y", 'Cell Management'!G:G, "Yes")</f>
        <v>2</v>
      </c>
    </row>
    <row r="24" spans="2:8" ht="17.7" x14ac:dyDescent="0.85">
      <c r="B24" s="176" t="s">
        <v>1482</v>
      </c>
      <c r="C24" s="175">
        <f>SUM(D24:E24)</f>
        <v>4</v>
      </c>
      <c r="D24" s="177">
        <f>COUNTIF('Parameter Management'!I:I, "GUI")</f>
        <v>4</v>
      </c>
      <c r="E24" s="177">
        <f>COUNTIF('Parameter Management'!I:I, "CLI")</f>
        <v>0</v>
      </c>
      <c r="F24" s="178">
        <f>COUNTIF('Parameter Management'!J:J, "Yes")</f>
        <v>0</v>
      </c>
      <c r="G24" s="184">
        <f>COUNTIFS('Parameter Management'!A:A, "Y", 'Parameter Management'!J:J, "No")</f>
        <v>4</v>
      </c>
      <c r="H24" s="185">
        <f>COUNTIFS('Parameter Management'!A:A, "Y", 'Parameter Management'!J:J, "Yes")</f>
        <v>0</v>
      </c>
    </row>
    <row r="25" spans="2:8" ht="17.7" x14ac:dyDescent="0.85">
      <c r="B25" s="174" t="s">
        <v>1483</v>
      </c>
      <c r="C25" s="175">
        <f t="shared" si="1"/>
        <v>7</v>
      </c>
      <c r="D25" s="177">
        <f>COUNTIF('Auto Provisioning'!J:J, "GUI")</f>
        <v>7</v>
      </c>
      <c r="E25" s="177">
        <f>COUNTIF('Auto Provisioning'!J:J, "CLI")</f>
        <v>0</v>
      </c>
      <c r="F25" s="178">
        <f>COUNTIF('Auto Provisioning'!K:K, "Yes")</f>
        <v>0</v>
      </c>
      <c r="G25" s="184">
        <f>COUNTIFS('Auto Provisioning'!A:A, "Y", 'Auto Provisioning'!K:K, "No")</f>
        <v>7</v>
      </c>
      <c r="H25" s="185">
        <f>COUNTIFS('Auto Provisioning'!A:A, "Y", 'Auto Provisioning'!K:K, "Yes")</f>
        <v>0</v>
      </c>
    </row>
    <row r="26" spans="2:8" ht="17.7" x14ac:dyDescent="0.85">
      <c r="B26" s="174" t="s">
        <v>1484</v>
      </c>
      <c r="C26" s="175">
        <f t="shared" si="1"/>
        <v>7</v>
      </c>
      <c r="D26" s="177">
        <f>COUNTIF('Release Independence'!E:E, "GUI")</f>
        <v>7</v>
      </c>
      <c r="E26" s="177">
        <f>COUNTIF('Release Independence'!E:E, "CLI")</f>
        <v>0</v>
      </c>
      <c r="F26" s="178">
        <f>COUNTIF('Release Independence'!F:F, "Yes")</f>
        <v>0</v>
      </c>
      <c r="G26" s="184">
        <f>COUNTIFS('Release Independence'!A:A, "Y", 'Release Independence'!F:F, "No")</f>
        <v>7</v>
      </c>
      <c r="H26" s="185">
        <f>COUNTIFS('Release Independence'!A:A, "Y", 'Release Independence'!F:F, "Yes")</f>
        <v>0</v>
      </c>
    </row>
    <row r="27" spans="2:8" ht="17.7" x14ac:dyDescent="0.85">
      <c r="B27" s="174" t="s">
        <v>1485</v>
      </c>
      <c r="C27" s="175">
        <f t="shared" si="1"/>
        <v>1</v>
      </c>
      <c r="D27" s="177">
        <f>COUNTIF('User Management'!F:F, "GUI")</f>
        <v>1</v>
      </c>
      <c r="E27" s="177">
        <f>COUNTIF('User Management'!F:F, "CLI")</f>
        <v>0</v>
      </c>
      <c r="F27" s="178">
        <f>COUNTIF('User Management'!G:G, "Yes")</f>
        <v>0</v>
      </c>
      <c r="G27" s="184">
        <f>COUNTIFS('User Management'!A:A, "Y", 'User Management'!G:G, "No")</f>
        <v>1</v>
      </c>
      <c r="H27" s="185">
        <f>COUNTIFS('User Management'!A:A, "Y", 'User Management'!G:G, "Yes")</f>
        <v>0</v>
      </c>
    </row>
    <row r="28" spans="2:8" ht="17.7" x14ac:dyDescent="0.85">
      <c r="B28" s="174" t="s">
        <v>1486</v>
      </c>
      <c r="C28" s="175">
        <f>SUM(D28:E28)</f>
        <v>2</v>
      </c>
      <c r="D28" s="177">
        <f>COUNTIF(OPS!E:E, "GUI")</f>
        <v>2</v>
      </c>
      <c r="E28" s="177">
        <f>COUNTIF(OPS!E:E, "CLI")</f>
        <v>0</v>
      </c>
      <c r="F28" s="178">
        <f>COUNTIF(OPS!F:F, "Yes")</f>
        <v>0</v>
      </c>
      <c r="G28" s="184">
        <f>COUNTIFS(OPS!A:A, "Y", FMX!F:F, "No")</f>
        <v>0</v>
      </c>
      <c r="H28" s="185">
        <f>COUNTIFS(OPS!A:A, "Y", FMX!F:F, "Yes")</f>
        <v>0</v>
      </c>
    </row>
    <row r="29" spans="2:8" ht="17.7" x14ac:dyDescent="0.85">
      <c r="B29" s="174" t="s">
        <v>1487</v>
      </c>
      <c r="C29" s="175">
        <f>SUM(D29:E29)</f>
        <v>2</v>
      </c>
      <c r="D29" s="177">
        <f>COUNTIF('Bulk Configuration'!G:G, "GUI")</f>
        <v>2</v>
      </c>
      <c r="E29" s="177">
        <f>COUNTIF('Bulk Configuration'!G:G, "CLI")</f>
        <v>0</v>
      </c>
      <c r="F29" s="178">
        <f>COUNTIF('Bulk Configuration'!H:H, "Yes")</f>
        <v>0</v>
      </c>
      <c r="G29" s="184">
        <f>COUNTIFS('Bulk Configuration'!A:A, "Y", 'Bulk Configuration'!H:H, "No")</f>
        <v>2</v>
      </c>
      <c r="H29" s="185">
        <f>COUNTIFS('Bulk Configuration'!A:A, "Y", 'Bulk Configuration'!H:H, "Yes")</f>
        <v>0</v>
      </c>
    </row>
    <row r="30" spans="2:8" ht="17.7" x14ac:dyDescent="0.85">
      <c r="B30" s="174" t="s">
        <v>1488</v>
      </c>
      <c r="C30" s="175">
        <v>1</v>
      </c>
      <c r="D30" s="177">
        <f>COUNTIF('High Availability'!I:I, "GUI")</f>
        <v>0</v>
      </c>
      <c r="E30" s="177">
        <f>COUNTIF('High Availability'!I:I, "CLI")</f>
        <v>1</v>
      </c>
      <c r="F30" s="178">
        <f>COUNTIF('High Availability'!J:J, "Yes")</f>
        <v>0</v>
      </c>
      <c r="G30" s="184">
        <f>COUNTIFS('High Availability'!A:A, "Y", 'High Availability'!J:J, "No")</f>
        <v>1</v>
      </c>
      <c r="H30" s="185">
        <f>COUNTIFS('High Availability'!A:A, "Y", 'High Availability'!J:J, "Yes")</f>
        <v>0</v>
      </c>
    </row>
    <row r="31" spans="2:8" ht="17.7" x14ac:dyDescent="0.85">
      <c r="B31" s="174" t="s">
        <v>1489</v>
      </c>
      <c r="C31" s="175">
        <f>SUM(D31:E31)</f>
        <v>19</v>
      </c>
      <c r="D31" s="177">
        <f>COUNTIF(FMX!L:L, "GUI")</f>
        <v>18</v>
      </c>
      <c r="E31" s="177">
        <f>COUNTIF(FMX!L:L, "CLI")</f>
        <v>1</v>
      </c>
      <c r="F31" s="178">
        <f>COUNTIF(FMX!M:M, "Yes")</f>
        <v>0</v>
      </c>
      <c r="G31" s="184">
        <f>COUNTIFS(FMX!A:A, "Y", FMX!M:M, "No")</f>
        <v>19</v>
      </c>
      <c r="H31" s="185">
        <f>COUNTIFS(FMX!A:A, "Y", FMX!M:M, "Yes")</f>
        <v>0</v>
      </c>
    </row>
    <row r="32" spans="2:8" ht="17.7" x14ac:dyDescent="0.85">
      <c r="B32" s="174" t="s">
        <v>1490</v>
      </c>
      <c r="C32" s="175">
        <f>SUM(D32:E32)</f>
        <v>6</v>
      </c>
      <c r="D32" s="177">
        <f>COUNTIF(ESM!E:E, "GUI")</f>
        <v>6</v>
      </c>
      <c r="E32" s="177">
        <f>COUNTIF(ESM!E:E, "CLI")</f>
        <v>0</v>
      </c>
      <c r="F32" s="178">
        <f>COUNTIF(ESM!F:F, "Yes")</f>
        <v>0</v>
      </c>
      <c r="G32" s="184">
        <f>COUNTIFS(ESM!A:A, "Y", ESM!F:F, "No")</f>
        <v>6</v>
      </c>
      <c r="H32" s="185">
        <f>COUNTIFS(ESM!A:A, "Y", ESM!F:F, "Yes")</f>
        <v>0</v>
      </c>
    </row>
    <row r="33" spans="2:8" ht="17.7" x14ac:dyDescent="0.85">
      <c r="B33" s="174" t="s">
        <v>1491</v>
      </c>
      <c r="C33" s="175">
        <f t="shared" ref="C33:C35" si="2">SUM(D33:E33)</f>
        <v>1</v>
      </c>
      <c r="D33" s="177">
        <f>COUNTIF(PLM!G:G, "GUI")</f>
        <v>1</v>
      </c>
      <c r="E33" s="177">
        <f>COUNTIF(PLM!G:G, "CLI")</f>
        <v>0</v>
      </c>
      <c r="F33" s="178">
        <f>COUNTIF(PLM!H:H, "Yes")</f>
        <v>0</v>
      </c>
      <c r="G33" s="184">
        <f>COUNTIFS(PLM!A:A, "Y", PLM!H:H, "No")</f>
        <v>1</v>
      </c>
      <c r="H33" s="185">
        <f>COUNTIFS(PLM!A:A, "Y", PLM!H:H, "Yes")</f>
        <v>0</v>
      </c>
    </row>
    <row r="34" spans="2:8" ht="17.7" x14ac:dyDescent="0.85">
      <c r="B34" s="174" t="s">
        <v>1492</v>
      </c>
      <c r="C34" s="175">
        <f t="shared" si="2"/>
        <v>9</v>
      </c>
      <c r="D34" s="177">
        <f>COUNTIF('Configuration Management'!N:N, "GUI")</f>
        <v>0</v>
      </c>
      <c r="E34" s="177">
        <f>COUNTIF('Configuration Management'!N:N, "CLI")</f>
        <v>9</v>
      </c>
      <c r="F34" s="178">
        <f>COUNTIF('Configuration Management'!O:O, "Yes")</f>
        <v>2</v>
      </c>
      <c r="G34" s="184">
        <f>COUNTIFS('Configuration Management'!A:A, "Y", 'Configuration Management'!O:O, "No")</f>
        <v>5</v>
      </c>
      <c r="H34" s="185">
        <f>COUNTIFS('Configuration Management'!A:A, "Y", 'Configuration Management'!O:O, "Yes")</f>
        <v>2</v>
      </c>
    </row>
    <row r="35" spans="2:8" ht="17.7" x14ac:dyDescent="0.85">
      <c r="B35" s="174" t="s">
        <v>1493</v>
      </c>
      <c r="C35" s="175">
        <f t="shared" si="2"/>
        <v>1</v>
      </c>
      <c r="D35" s="177">
        <f>COUNTIF(NCM!E:E, "GUI")</f>
        <v>1</v>
      </c>
      <c r="E35" s="177">
        <f>COUNTIF(NCM!E:E, "CLI")</f>
        <v>0</v>
      </c>
      <c r="F35" s="178">
        <f>COUNTIF(NCM!F:F, "Yes")</f>
        <v>0</v>
      </c>
      <c r="G35" s="184">
        <f>COUNTIFS(NCM!A:A, "Y", NCM!F:F, "No")</f>
        <v>1</v>
      </c>
      <c r="H35" s="185">
        <f>COUNTIFS(NCM!A:A, "Y", NCM!F:F, "Yes")</f>
        <v>0</v>
      </c>
    </row>
    <row r="36" spans="2:8" ht="19" thickBot="1" x14ac:dyDescent="0.85">
      <c r="B36" s="179" t="s">
        <v>1494</v>
      </c>
      <c r="C36" s="180">
        <f>SUM(C4:C35)</f>
        <v>381</v>
      </c>
      <c r="D36" s="180">
        <f t="shared" ref="D36:E36" si="3">SUM(D4:D34)</f>
        <v>339</v>
      </c>
      <c r="E36" s="180">
        <f t="shared" si="3"/>
        <v>41</v>
      </c>
      <c r="F36" s="181">
        <f>SUM(F4:F35)</f>
        <v>20</v>
      </c>
      <c r="G36" s="182">
        <f>SUM(G4:G35)</f>
        <v>336</v>
      </c>
      <c r="H36" s="183">
        <f>SUM(H4:H35)</f>
        <v>20</v>
      </c>
    </row>
  </sheetData>
  <hyperlinks>
    <hyperlink ref="B4" location="PMIC!A1" display="PMIC" xr:uid="{02B5EDE7-0F43-4DE2-AF70-88F9BE5634A6}"/>
    <hyperlink ref="B5" location="'Add Node (Web)'!A1" display="Add Node (Web)" xr:uid="{3490CED6-77C2-49C9-AD2A-173679C7A631}"/>
    <hyperlink ref="B6" location="'FM '!A1" display="FM" xr:uid="{819B680E-5BCA-4215-B832-30CBF49D6641}"/>
    <hyperlink ref="B7" location="SHM!A1" display="SHM" xr:uid="{2870AA6A-4C9C-42C3-BD3A-CA0B6CD75653}"/>
    <hyperlink ref="B8" location="'Client Scripting'!A1" display="Client Scripting" xr:uid="{7F7F5526-B545-42D2-B58E-171E8173F7AA}"/>
    <hyperlink ref="B9" location="'Log Viewer'!A1" display="Log Viewer" xr:uid="{615B9024-54C4-47C9-A8DD-BBAE328EB129}"/>
    <hyperlink ref="B10" location="'Topology Browser'!A1" display="Topology Browser" xr:uid="{EEB5674B-7076-45FC-801B-23B797F146C9}"/>
    <hyperlink ref="B11" location="AMOS!A1" display="AMOS" xr:uid="{426E465E-8A1A-456D-9453-ABFCB3806255}"/>
    <hyperlink ref="B12" location="'Network Explorer'!A1" display="Network Explorer" xr:uid="{273CD4DE-D6A3-4879-8670-CF0E1737E5FE}"/>
    <hyperlink ref="B13" location="' Identity Access Management'!A1" display=" Identity Access Management" xr:uid="{016BE851-CD38-4D56-B636-95FB7AF1F6D7}"/>
    <hyperlink ref="B14" location="'CM (Add,Synchronize &amp; Delete)'!A1" display="CM(Add,Synchronize &amp; Delete)" xr:uid="{BC9FD553-EC05-49B0-92E2-7C8E468810CE}"/>
    <hyperlink ref="B15" location="'License Control and Monitoring '!A1" display="License Control and Monitoring " xr:uid="{CE335ECC-9BE0-4E8E-BA6E-4F41AA29FB7F}"/>
    <hyperlink ref="B16" location="CMCLI!A1" display="CMCLI" xr:uid="{AA080919-AA80-4755-8735-7581892A1D69}"/>
    <hyperlink ref="B17" location="NHM!A1" display="Network Health Monitor" xr:uid="{8888F094-EA91-4B03-8E93-046F3582EEC5}"/>
    <hyperlink ref="B18" location="'Network Viewer'!A1" display="Network Viewer" xr:uid="{20D77F7B-746B-4B0E-A7A3-7AF63307D5D1}"/>
    <hyperlink ref="B19" location="NHC!A1" display="NHC" xr:uid="{1C09B6E2-0CBA-4964-97E4-ACB262E27274}"/>
    <hyperlink ref="B20" location="'Security PKI'!A1" display="Security PKI" xr:uid="{0D322E8A-2AC9-41FC-8BD3-01E5E9FC648F}"/>
    <hyperlink ref="B23" location="'Cell Management'!A1" display="Cell Management" xr:uid="{3AFF8C5A-C998-4F1A-9BFF-14C300FA086B}"/>
    <hyperlink ref="B21" location="'Automatic ID assignment '!A1" display="Automatic ID assignment " xr:uid="{7E79AD50-5D12-4963-A189-C2691E75224C}"/>
    <hyperlink ref="B22" location="Winfiol!A1" display="Winfiol" xr:uid="{C82DFF75-586E-4958-B27C-54BAC70CC9AD}"/>
    <hyperlink ref="B25" location="AutoProvisioning!A1" display="AutoProvisioning" xr:uid="{8DF40786-DACA-4F22-B812-D75185B1BB9A}"/>
    <hyperlink ref="B24" location="'Parameter Management'!A1" display="Parameter Management" xr:uid="{7D41FEB0-0344-4FAA-A4C2-196070D12093}"/>
    <hyperlink ref="B26" location="'Release Independance'!A1" display="Release Independence" xr:uid="{DD5A18BC-F88D-4F41-8B02-C744FED9FD37}"/>
    <hyperlink ref="B32" location="ESM!A1" display="ESM" xr:uid="{2E7F6948-07F4-4823-90E3-59AD47A6AC7F}"/>
    <hyperlink ref="B30" location="'High Availability'!A1" display="High Availability" xr:uid="{08801817-112A-4FFE-B0CA-CBDABE6CBDF1}"/>
    <hyperlink ref="B28" location="OPS!A1" display="OPS" xr:uid="{0E3AB20C-3DB6-4B6D-844C-9746F76EBE25}"/>
    <hyperlink ref="B27" location="'User Management'!A1" display="User Management" xr:uid="{1A15BCEE-26FA-425F-AE33-EC8BA92D4B2C}"/>
    <hyperlink ref="B29" location="'Bulk Configuration'!A1" display="Bulk Configuration" xr:uid="{EA0888C7-27F2-42FC-965B-AF6F83D3214F}"/>
    <hyperlink ref="B31" location="FMX!A1" display="FMX" xr:uid="{FACEB4D3-C88A-45A2-A65C-ACD7D770E910}"/>
    <hyperlink ref="B33" location="PLM!A1" display="PLM" xr:uid="{F93255C3-7C1C-4A3A-9EEE-FB7613BE17B5}"/>
    <hyperlink ref="B34" location="'Configuration Management'!A1" display="Configuration Management" xr:uid="{58A7F498-184B-403F-85A2-F6C04EA1D638}"/>
    <hyperlink ref="B35" location="NCM!A1" display="NCM" xr:uid="{6CF4A9FF-370D-4778-A733-A7B752E8601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286C7-5E57-4177-A25E-81DEEE70397F}">
  <sheetPr codeName="Sheet9"/>
  <dimension ref="A1:H7"/>
  <sheetViews>
    <sheetView zoomScale="96" workbookViewId="0">
      <selection activeCell="C15" sqref="C15"/>
    </sheetView>
  </sheetViews>
  <sheetFormatPr defaultRowHeight="14.35" x14ac:dyDescent="0.5"/>
  <cols>
    <col min="2" max="2" width="15.17578125" customWidth="1"/>
    <col min="3" max="3" width="25.8203125" customWidth="1"/>
    <col min="4" max="4" width="54.52734375" customWidth="1"/>
    <col min="6" max="6" width="17.05859375" customWidth="1"/>
    <col min="7" max="7" width="13.64453125" customWidth="1"/>
    <col min="8" max="8" width="21.52734375" customWidth="1"/>
    <col min="11" max="11" width="17.703125" customWidth="1"/>
  </cols>
  <sheetData>
    <row r="1" spans="1:8" x14ac:dyDescent="0.5">
      <c r="A1" s="9" t="s">
        <v>0</v>
      </c>
      <c r="B1" s="9" t="s">
        <v>1</v>
      </c>
      <c r="C1" s="9" t="s">
        <v>1436</v>
      </c>
      <c r="D1" s="9" t="s">
        <v>68</v>
      </c>
      <c r="E1" s="82" t="s">
        <v>745</v>
      </c>
      <c r="F1" s="83" t="s">
        <v>767</v>
      </c>
      <c r="G1" s="84" t="s">
        <v>770</v>
      </c>
      <c r="H1" s="85" t="s">
        <v>768</v>
      </c>
    </row>
    <row r="2" spans="1:8" x14ac:dyDescent="0.5">
      <c r="A2" s="2" t="s">
        <v>4</v>
      </c>
      <c r="B2" s="3" t="s">
        <v>1049</v>
      </c>
      <c r="C2" s="37" t="s">
        <v>1050</v>
      </c>
      <c r="D2" s="37" t="s">
        <v>519</v>
      </c>
      <c r="E2" s="8" t="s">
        <v>746</v>
      </c>
      <c r="F2" s="8" t="s">
        <v>518</v>
      </c>
      <c r="G2" s="8"/>
      <c r="H2" s="8"/>
    </row>
    <row r="3" spans="1:8" x14ac:dyDescent="0.5">
      <c r="A3" s="2" t="s">
        <v>4</v>
      </c>
      <c r="B3" s="3" t="s">
        <v>1577</v>
      </c>
      <c r="C3" s="8" t="s">
        <v>1578</v>
      </c>
      <c r="D3" s="53" t="s">
        <v>1579</v>
      </c>
      <c r="E3" s="8" t="s">
        <v>746</v>
      </c>
      <c r="F3" s="8" t="s">
        <v>518</v>
      </c>
      <c r="G3" s="8"/>
      <c r="H3" s="8"/>
    </row>
    <row r="4" spans="1:8" x14ac:dyDescent="0.5">
      <c r="A4" s="2" t="s">
        <v>4</v>
      </c>
      <c r="B4" s="3" t="s">
        <v>1580</v>
      </c>
      <c r="C4" s="8" t="s">
        <v>1581</v>
      </c>
      <c r="D4" s="53" t="s">
        <v>1582</v>
      </c>
      <c r="E4" s="8" t="s">
        <v>746</v>
      </c>
      <c r="F4" s="8" t="s">
        <v>518</v>
      </c>
      <c r="G4" s="8"/>
      <c r="H4" s="8"/>
    </row>
    <row r="5" spans="1:8" x14ac:dyDescent="0.5">
      <c r="A5" s="2" t="s">
        <v>4</v>
      </c>
      <c r="B5" s="3" t="s">
        <v>1583</v>
      </c>
      <c r="C5" s="8" t="s">
        <v>1584</v>
      </c>
      <c r="D5" s="53" t="s">
        <v>1585</v>
      </c>
      <c r="E5" s="8" t="s">
        <v>746</v>
      </c>
      <c r="F5" s="8" t="s">
        <v>518</v>
      </c>
      <c r="G5" s="8"/>
      <c r="H5" s="8"/>
    </row>
    <row r="6" spans="1:8" x14ac:dyDescent="0.5">
      <c r="A6" s="2" t="s">
        <v>4</v>
      </c>
      <c r="B6" s="3" t="s">
        <v>1586</v>
      </c>
      <c r="C6" s="8" t="s">
        <v>1587</v>
      </c>
      <c r="D6" s="53" t="s">
        <v>1588</v>
      </c>
      <c r="E6" s="8" t="s">
        <v>746</v>
      </c>
      <c r="F6" s="8" t="s">
        <v>518</v>
      </c>
      <c r="G6" s="8"/>
      <c r="H6" s="8"/>
    </row>
    <row r="7" spans="1:8" x14ac:dyDescent="0.5">
      <c r="A7" s="2" t="s">
        <v>4</v>
      </c>
      <c r="B7" s="3" t="s">
        <v>1589</v>
      </c>
      <c r="C7" s="8" t="s">
        <v>1590</v>
      </c>
      <c r="D7" s="53" t="s">
        <v>1591</v>
      </c>
      <c r="E7" s="8" t="s">
        <v>746</v>
      </c>
      <c r="F7" s="8" t="s">
        <v>518</v>
      </c>
      <c r="G7" s="8"/>
      <c r="H7"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E0260-B8E2-4043-A40F-6A74C46F5782}">
  <sheetPr codeName="Sheet7"/>
  <dimension ref="A1:N4"/>
  <sheetViews>
    <sheetView zoomScale="69" zoomScaleNormal="104" workbookViewId="0">
      <selection activeCell="I4" sqref="I4"/>
    </sheetView>
  </sheetViews>
  <sheetFormatPr defaultRowHeight="14.35" x14ac:dyDescent="0.5"/>
  <cols>
    <col min="1" max="1" width="13.3515625" customWidth="1"/>
    <col min="2" max="2" width="59.8203125" customWidth="1"/>
    <col min="3" max="3" width="15.17578125" customWidth="1"/>
    <col min="4" max="4" width="16.64453125" customWidth="1"/>
    <col min="5" max="7" width="15.64453125" customWidth="1"/>
    <col min="8" max="8" width="18" customWidth="1"/>
    <col min="9" max="9" width="26.8203125" customWidth="1"/>
    <col min="10" max="10" width="56.52734375" customWidth="1"/>
    <col min="12" max="12" width="18.52734375" customWidth="1"/>
    <col min="13" max="13" width="15.52734375" customWidth="1"/>
    <col min="14" max="14" width="22.29296875" customWidth="1"/>
  </cols>
  <sheetData>
    <row r="1" spans="1:14" x14ac:dyDescent="0.5">
      <c r="A1" s="9" t="s">
        <v>0</v>
      </c>
      <c r="B1" s="9" t="s">
        <v>1</v>
      </c>
      <c r="C1" s="9" t="s">
        <v>8</v>
      </c>
      <c r="D1" s="9" t="s">
        <v>17</v>
      </c>
      <c r="E1" s="9" t="s">
        <v>12</v>
      </c>
      <c r="F1" s="9" t="s">
        <v>2</v>
      </c>
      <c r="G1" s="9" t="s">
        <v>3</v>
      </c>
      <c r="H1" s="9" t="s">
        <v>78</v>
      </c>
      <c r="I1" s="9" t="s">
        <v>1436</v>
      </c>
      <c r="J1" s="24" t="s">
        <v>68</v>
      </c>
      <c r="K1" s="82" t="s">
        <v>745</v>
      </c>
      <c r="L1" s="83" t="s">
        <v>767</v>
      </c>
      <c r="M1" s="84" t="s">
        <v>770</v>
      </c>
      <c r="N1" s="85" t="s">
        <v>768</v>
      </c>
    </row>
    <row r="2" spans="1:14" ht="19" customHeight="1" x14ac:dyDescent="0.5">
      <c r="A2" s="2" t="s">
        <v>4</v>
      </c>
      <c r="B2" s="3" t="s">
        <v>72</v>
      </c>
      <c r="C2" s="4" t="s">
        <v>74</v>
      </c>
      <c r="D2" s="4" t="s">
        <v>80</v>
      </c>
      <c r="E2" s="4" t="s">
        <v>735</v>
      </c>
      <c r="F2" s="4" t="s">
        <v>82</v>
      </c>
      <c r="G2" s="4" t="s">
        <v>81</v>
      </c>
      <c r="H2" s="6"/>
      <c r="I2" s="8" t="s">
        <v>1042</v>
      </c>
      <c r="J2" s="33" t="s">
        <v>1045</v>
      </c>
      <c r="K2" s="8" t="s">
        <v>746</v>
      </c>
      <c r="L2" s="8" t="s">
        <v>518</v>
      </c>
      <c r="M2" s="8"/>
      <c r="N2" s="190" t="s">
        <v>1048</v>
      </c>
    </row>
    <row r="3" spans="1:14" ht="18" customHeight="1" x14ac:dyDescent="0.5">
      <c r="A3" s="2" t="s">
        <v>4</v>
      </c>
      <c r="B3" s="3" t="s">
        <v>73</v>
      </c>
      <c r="C3" s="4" t="s">
        <v>75</v>
      </c>
      <c r="D3" s="4" t="s">
        <v>18</v>
      </c>
      <c r="E3" s="4" t="s">
        <v>309</v>
      </c>
      <c r="F3" s="4" t="s">
        <v>83</v>
      </c>
      <c r="G3" s="4" t="s">
        <v>85</v>
      </c>
      <c r="H3" s="6"/>
      <c r="I3" s="8" t="s">
        <v>1043</v>
      </c>
      <c r="J3" s="33" t="s">
        <v>1046</v>
      </c>
      <c r="K3" s="8" t="s">
        <v>746</v>
      </c>
      <c r="L3" s="8" t="s">
        <v>518</v>
      </c>
      <c r="M3" s="8"/>
      <c r="N3" s="190"/>
    </row>
    <row r="4" spans="1:14" ht="17" customHeight="1" x14ac:dyDescent="0.5">
      <c r="A4" s="2" t="s">
        <v>4</v>
      </c>
      <c r="B4" s="3" t="s">
        <v>76</v>
      </c>
      <c r="C4" s="4" t="s">
        <v>77</v>
      </c>
      <c r="D4" s="4" t="s">
        <v>80</v>
      </c>
      <c r="E4" s="4" t="s">
        <v>310</v>
      </c>
      <c r="F4" s="4" t="s">
        <v>84</v>
      </c>
      <c r="G4" s="4" t="s">
        <v>86</v>
      </c>
      <c r="H4" s="4" t="s">
        <v>79</v>
      </c>
      <c r="I4" s="8" t="s">
        <v>1044</v>
      </c>
      <c r="J4" s="33" t="s">
        <v>1047</v>
      </c>
      <c r="K4" s="8" t="s">
        <v>746</v>
      </c>
      <c r="L4" s="8" t="s">
        <v>518</v>
      </c>
      <c r="M4" s="8"/>
      <c r="N4" s="190"/>
    </row>
  </sheetData>
  <mergeCells count="1">
    <mergeCell ref="N2:N4"/>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BE4CD-A1A3-4F87-9E88-781D17D0BFCB}">
  <sheetPr codeName="Sheet10"/>
  <dimension ref="A1:Y38"/>
  <sheetViews>
    <sheetView topLeftCell="A4" zoomScale="59" zoomScaleNormal="59" workbookViewId="0">
      <selection activeCell="C23" sqref="C23"/>
    </sheetView>
  </sheetViews>
  <sheetFormatPr defaultRowHeight="14.35" x14ac:dyDescent="0.5"/>
  <cols>
    <col min="1" max="1" width="14.46875" customWidth="1"/>
    <col min="2" max="2" width="48.52734375" style="109" customWidth="1"/>
    <col min="3" max="3" width="23.8203125" customWidth="1"/>
    <col min="4" max="4" width="39.29296875" customWidth="1"/>
    <col min="5" max="5" width="27.17578125" customWidth="1"/>
    <col min="6" max="6" width="27.52734375" customWidth="1"/>
    <col min="7" max="7" width="27.17578125" customWidth="1"/>
    <col min="8" max="8" width="17.05859375" customWidth="1"/>
    <col min="9" max="9" width="20.17578125" customWidth="1"/>
    <col min="10" max="10" width="22.46875" customWidth="1"/>
    <col min="11" max="11" width="18.46875" customWidth="1"/>
    <col min="12" max="12" width="16.46875" customWidth="1"/>
    <col min="13" max="13" width="23.64453125" customWidth="1"/>
    <col min="15" max="15" width="6.8203125" customWidth="1"/>
    <col min="16" max="16" width="13.703125" customWidth="1"/>
    <col min="17" max="17" width="18.46875" customWidth="1"/>
    <col min="18" max="18" width="19.3515625" customWidth="1"/>
    <col min="19" max="19" width="17.46875" customWidth="1"/>
    <col min="20" max="20" width="27.52734375" customWidth="1"/>
    <col min="21" max="21" width="17.87890625" customWidth="1"/>
    <col min="22" max="22" width="28.64453125" customWidth="1"/>
    <col min="23" max="23" width="107" customWidth="1"/>
  </cols>
  <sheetData>
    <row r="1" spans="1:25" x14ac:dyDescent="0.5">
      <c r="A1" s="9" t="s">
        <v>0</v>
      </c>
      <c r="B1" s="105" t="s">
        <v>1</v>
      </c>
      <c r="C1" s="9" t="s">
        <v>8</v>
      </c>
      <c r="D1" s="9" t="s">
        <v>101</v>
      </c>
      <c r="E1" s="9" t="s">
        <v>103</v>
      </c>
      <c r="F1" s="9" t="s">
        <v>123</v>
      </c>
      <c r="G1" s="9" t="s">
        <v>311</v>
      </c>
      <c r="H1" s="9" t="s">
        <v>212</v>
      </c>
      <c r="I1" s="9" t="s">
        <v>312</v>
      </c>
      <c r="J1" s="9" t="s">
        <v>605</v>
      </c>
      <c r="K1" s="9" t="s">
        <v>586</v>
      </c>
      <c r="L1" s="9" t="s">
        <v>587</v>
      </c>
      <c r="M1" s="9" t="s">
        <v>681</v>
      </c>
      <c r="N1" s="9" t="s">
        <v>110</v>
      </c>
      <c r="O1" s="9" t="s">
        <v>2</v>
      </c>
      <c r="P1" s="9" t="s">
        <v>3</v>
      </c>
      <c r="Q1" s="9" t="s">
        <v>359</v>
      </c>
      <c r="R1" s="9" t="s">
        <v>1603</v>
      </c>
      <c r="S1" s="9" t="s">
        <v>1604</v>
      </c>
      <c r="T1" s="9" t="s">
        <v>1436</v>
      </c>
      <c r="U1" s="9" t="s">
        <v>210</v>
      </c>
      <c r="V1" s="82" t="s">
        <v>745</v>
      </c>
      <c r="W1" s="83" t="s">
        <v>767</v>
      </c>
      <c r="X1" s="84" t="s">
        <v>770</v>
      </c>
      <c r="Y1" s="85" t="s">
        <v>768</v>
      </c>
    </row>
    <row r="2" spans="1:25" ht="45" customHeight="1" x14ac:dyDescent="0.5">
      <c r="A2" s="2" t="s">
        <v>4</v>
      </c>
      <c r="B2" s="106" t="s">
        <v>100</v>
      </c>
      <c r="C2" s="4" t="s">
        <v>216</v>
      </c>
      <c r="D2" s="6"/>
      <c r="E2" s="6"/>
      <c r="F2" s="6"/>
      <c r="G2" s="6"/>
      <c r="H2" s="6"/>
      <c r="I2" s="6"/>
      <c r="J2" s="6"/>
      <c r="K2" s="6"/>
      <c r="L2" s="6"/>
      <c r="M2" s="6"/>
      <c r="N2" s="6"/>
      <c r="O2" s="6"/>
      <c r="P2" s="6"/>
      <c r="Q2" s="6"/>
      <c r="R2" s="6"/>
      <c r="S2" s="6"/>
      <c r="T2" s="56" t="s">
        <v>973</v>
      </c>
      <c r="U2" s="37" t="s">
        <v>313</v>
      </c>
      <c r="V2" s="8" t="s">
        <v>746</v>
      </c>
      <c r="W2" s="8" t="s">
        <v>518</v>
      </c>
      <c r="X2" s="8"/>
      <c r="Y2" s="117" t="s">
        <v>1040</v>
      </c>
    </row>
    <row r="3" spans="1:25" ht="31.5" customHeight="1" x14ac:dyDescent="0.5">
      <c r="A3" s="2" t="s">
        <v>4</v>
      </c>
      <c r="B3" s="106" t="s">
        <v>114</v>
      </c>
      <c r="C3" s="4" t="s">
        <v>216</v>
      </c>
      <c r="D3" s="6"/>
      <c r="E3" s="6"/>
      <c r="F3" s="6"/>
      <c r="G3" s="6"/>
      <c r="H3" s="6"/>
      <c r="I3" s="6"/>
      <c r="J3" s="6"/>
      <c r="K3" s="6"/>
      <c r="L3" s="6"/>
      <c r="M3" s="6"/>
      <c r="N3" s="6"/>
      <c r="O3" s="6"/>
      <c r="P3" s="6"/>
      <c r="Q3" s="6"/>
      <c r="R3" s="6"/>
      <c r="S3" s="6"/>
      <c r="T3" s="56" t="s">
        <v>974</v>
      </c>
      <c r="U3" s="37" t="s">
        <v>314</v>
      </c>
      <c r="V3" s="8" t="s">
        <v>746</v>
      </c>
      <c r="W3" s="8" t="s">
        <v>518</v>
      </c>
      <c r="X3" s="8"/>
      <c r="Y3" s="116" t="s">
        <v>1033</v>
      </c>
    </row>
    <row r="4" spans="1:25" ht="33.5" customHeight="1" x14ac:dyDescent="0.5">
      <c r="A4" s="2" t="s">
        <v>4</v>
      </c>
      <c r="B4" s="106" t="s">
        <v>112</v>
      </c>
      <c r="C4" s="4" t="s">
        <v>216</v>
      </c>
      <c r="D4" s="6"/>
      <c r="E4" s="6"/>
      <c r="F4" s="6"/>
      <c r="G4" s="6"/>
      <c r="H4" s="6"/>
      <c r="I4" s="6"/>
      <c r="J4" s="6"/>
      <c r="K4" s="6"/>
      <c r="L4" s="6"/>
      <c r="M4" s="6"/>
      <c r="N4" s="6"/>
      <c r="O4" s="6"/>
      <c r="P4" s="6"/>
      <c r="Q4" s="6"/>
      <c r="R4" s="6"/>
      <c r="S4" s="6"/>
      <c r="T4" s="56" t="s">
        <v>975</v>
      </c>
      <c r="U4" s="37" t="s">
        <v>315</v>
      </c>
      <c r="V4" s="8" t="s">
        <v>746</v>
      </c>
      <c r="W4" s="8" t="s">
        <v>518</v>
      </c>
      <c r="X4" s="8"/>
      <c r="Y4" s="116" t="s">
        <v>1034</v>
      </c>
    </row>
    <row r="5" spans="1:25" ht="45" customHeight="1" x14ac:dyDescent="0.5">
      <c r="A5" s="2" t="s">
        <v>4</v>
      </c>
      <c r="B5" s="106" t="s">
        <v>102</v>
      </c>
      <c r="C5" s="4" t="s">
        <v>216</v>
      </c>
      <c r="D5" s="6"/>
      <c r="E5" s="6"/>
      <c r="F5" s="6"/>
      <c r="G5" s="6"/>
      <c r="H5" s="6"/>
      <c r="I5" s="6"/>
      <c r="J5" s="6"/>
      <c r="K5" s="6"/>
      <c r="L5" s="6"/>
      <c r="M5" s="6"/>
      <c r="N5" s="6"/>
      <c r="O5" s="6"/>
      <c r="P5" s="6"/>
      <c r="Q5" s="6"/>
      <c r="R5" s="6"/>
      <c r="S5" s="6"/>
      <c r="T5" s="56" t="s">
        <v>976</v>
      </c>
      <c r="U5" s="37" t="s">
        <v>316</v>
      </c>
      <c r="V5" s="8" t="s">
        <v>746</v>
      </c>
      <c r="W5" s="8" t="s">
        <v>518</v>
      </c>
      <c r="X5" s="8"/>
      <c r="Y5" s="116" t="s">
        <v>1032</v>
      </c>
    </row>
    <row r="6" spans="1:25" ht="34" customHeight="1" x14ac:dyDescent="0.5">
      <c r="A6" s="2" t="s">
        <v>4</v>
      </c>
      <c r="B6" s="106" t="s">
        <v>166</v>
      </c>
      <c r="C6" s="4" t="s">
        <v>216</v>
      </c>
      <c r="D6" s="18" t="s">
        <v>317</v>
      </c>
      <c r="E6" s="6"/>
      <c r="F6" s="4" t="s">
        <v>318</v>
      </c>
      <c r="G6" s="6"/>
      <c r="H6" s="6"/>
      <c r="I6" s="6"/>
      <c r="J6" s="6"/>
      <c r="K6" s="6"/>
      <c r="L6" s="6"/>
      <c r="M6" s="6"/>
      <c r="N6" s="6"/>
      <c r="O6" s="6"/>
      <c r="P6" s="6"/>
      <c r="Q6" s="6"/>
      <c r="R6" s="6"/>
      <c r="S6" s="6"/>
      <c r="T6" s="56" t="s">
        <v>977</v>
      </c>
      <c r="U6" s="37" t="s">
        <v>319</v>
      </c>
      <c r="V6" s="8" t="s">
        <v>746</v>
      </c>
      <c r="W6" s="8" t="s">
        <v>518</v>
      </c>
      <c r="X6" s="8"/>
      <c r="Y6" s="116" t="s">
        <v>1039</v>
      </c>
    </row>
    <row r="7" spans="1:25" ht="30.5" customHeight="1" x14ac:dyDescent="0.5">
      <c r="A7" s="2" t="s">
        <v>4</v>
      </c>
      <c r="B7" s="106" t="s">
        <v>118</v>
      </c>
      <c r="C7" s="6"/>
      <c r="D7" t="s">
        <v>1611</v>
      </c>
      <c r="E7" s="18" t="s">
        <v>571</v>
      </c>
      <c r="F7" s="6"/>
      <c r="G7" s="6"/>
      <c r="H7" s="6"/>
      <c r="I7" s="6"/>
      <c r="J7" s="6"/>
      <c r="K7" s="6"/>
      <c r="L7" s="6"/>
      <c r="M7" s="6"/>
      <c r="N7" s="6"/>
      <c r="O7" s="6"/>
      <c r="P7" s="6"/>
      <c r="Q7" s="6"/>
      <c r="R7" s="6"/>
      <c r="S7" s="6"/>
      <c r="T7" s="56" t="s">
        <v>978</v>
      </c>
      <c r="U7" s="37" t="s">
        <v>320</v>
      </c>
      <c r="V7" s="8" t="s">
        <v>746</v>
      </c>
      <c r="W7" s="8" t="s">
        <v>518</v>
      </c>
      <c r="X7" s="113" t="s">
        <v>1020</v>
      </c>
      <c r="Y7" s="116" t="s">
        <v>1028</v>
      </c>
    </row>
    <row r="8" spans="1:25" ht="43.5" customHeight="1" x14ac:dyDescent="0.5">
      <c r="A8" s="2" t="s">
        <v>4</v>
      </c>
      <c r="B8" s="106" t="s">
        <v>113</v>
      </c>
      <c r="C8" t="s">
        <v>1610</v>
      </c>
      <c r="D8" s="6"/>
      <c r="E8" s="6"/>
      <c r="F8" s="6"/>
      <c r="G8" s="6"/>
      <c r="H8" s="6"/>
      <c r="I8" s="6"/>
      <c r="J8" s="6"/>
      <c r="K8" s="6"/>
      <c r="L8" s="6"/>
      <c r="M8" s="6"/>
      <c r="N8" s="6"/>
      <c r="O8" s="6"/>
      <c r="P8" s="6"/>
      <c r="Q8" s="6"/>
      <c r="R8" s="6"/>
      <c r="S8" s="6"/>
      <c r="T8" s="56" t="s">
        <v>979</v>
      </c>
      <c r="U8" s="37" t="s">
        <v>321</v>
      </c>
      <c r="V8" s="8" t="s">
        <v>746</v>
      </c>
      <c r="W8" s="8" t="s">
        <v>518</v>
      </c>
      <c r="X8" s="8"/>
      <c r="Y8" s="117" t="s">
        <v>1041</v>
      </c>
    </row>
    <row r="9" spans="1:25" ht="25.5" customHeight="1" x14ac:dyDescent="0.5">
      <c r="A9" s="2" t="s">
        <v>4</v>
      </c>
      <c r="B9" s="106" t="s">
        <v>115</v>
      </c>
      <c r="C9" t="s">
        <v>1610</v>
      </c>
      <c r="D9" s="6"/>
      <c r="E9" s="6"/>
      <c r="F9" s="6"/>
      <c r="G9" s="6"/>
      <c r="H9" s="6"/>
      <c r="I9" s="6"/>
      <c r="J9" s="6"/>
      <c r="K9" s="6"/>
      <c r="L9" s="6"/>
      <c r="M9" s="6"/>
      <c r="N9" s="6"/>
      <c r="O9" s="6"/>
      <c r="P9" s="6"/>
      <c r="Q9" s="6"/>
      <c r="R9" s="6"/>
      <c r="S9" s="6"/>
      <c r="T9" s="56" t="s">
        <v>980</v>
      </c>
      <c r="U9" s="111" t="s">
        <v>322</v>
      </c>
      <c r="V9" s="8" t="s">
        <v>746</v>
      </c>
      <c r="W9" s="8" t="s">
        <v>518</v>
      </c>
      <c r="X9" s="8"/>
      <c r="Y9" s="116" t="s">
        <v>1030</v>
      </c>
    </row>
    <row r="10" spans="1:25" ht="15" customHeight="1" x14ac:dyDescent="0.5">
      <c r="A10" s="2" t="s">
        <v>4</v>
      </c>
      <c r="B10" s="106" t="s">
        <v>116</v>
      </c>
      <c r="C10" t="s">
        <v>1610</v>
      </c>
      <c r="D10" s="6"/>
      <c r="E10" s="6"/>
      <c r="F10" s="6"/>
      <c r="G10" s="6"/>
      <c r="H10" s="6"/>
      <c r="I10" s="6"/>
      <c r="J10" s="6"/>
      <c r="K10" s="6"/>
      <c r="L10" s="6"/>
      <c r="M10" s="6"/>
      <c r="N10" s="6"/>
      <c r="O10" s="6"/>
      <c r="P10" s="6"/>
      <c r="Q10" s="6"/>
      <c r="R10" s="6"/>
      <c r="S10" s="6"/>
      <c r="T10" s="56" t="s">
        <v>981</v>
      </c>
      <c r="U10" s="37" t="s">
        <v>323</v>
      </c>
      <c r="V10" s="8" t="s">
        <v>746</v>
      </c>
      <c r="W10" s="8" t="s">
        <v>518</v>
      </c>
      <c r="X10" s="8"/>
      <c r="Y10" s="116" t="s">
        <v>1029</v>
      </c>
    </row>
    <row r="11" spans="1:25" ht="17.5" customHeight="1" x14ac:dyDescent="0.5">
      <c r="A11" s="2" t="s">
        <v>4</v>
      </c>
      <c r="B11" s="106" t="s">
        <v>117</v>
      </c>
      <c r="C11" t="s">
        <v>1610</v>
      </c>
      <c r="D11" s="6"/>
      <c r="E11" s="6"/>
      <c r="F11" s="6"/>
      <c r="G11" s="6"/>
      <c r="H11" s="6"/>
      <c r="I11" s="6"/>
      <c r="J11" s="6"/>
      <c r="K11" s="6"/>
      <c r="L11" s="6"/>
      <c r="M11" s="6"/>
      <c r="N11" s="6"/>
      <c r="O11" s="6"/>
      <c r="P11" s="6"/>
      <c r="Q11" s="6"/>
      <c r="R11" s="6"/>
      <c r="S11" s="6"/>
      <c r="T11" s="56" t="s">
        <v>982</v>
      </c>
      <c r="U11" s="37" t="s">
        <v>324</v>
      </c>
      <c r="V11" s="8" t="s">
        <v>746</v>
      </c>
      <c r="W11" s="8" t="s">
        <v>518</v>
      </c>
      <c r="X11" s="8"/>
      <c r="Y11" s="116" t="s">
        <v>1038</v>
      </c>
    </row>
    <row r="12" spans="1:25" ht="37" customHeight="1" x14ac:dyDescent="0.5">
      <c r="A12" s="2" t="s">
        <v>4</v>
      </c>
      <c r="B12" s="106" t="s">
        <v>165</v>
      </c>
      <c r="C12" s="4" t="s">
        <v>216</v>
      </c>
      <c r="D12" s="4" t="s">
        <v>104</v>
      </c>
      <c r="E12" s="6"/>
      <c r="F12" s="6"/>
      <c r="G12" s="6"/>
      <c r="H12" s="6"/>
      <c r="I12" s="6"/>
      <c r="J12" s="6"/>
      <c r="K12" s="6"/>
      <c r="L12" s="6"/>
      <c r="M12" s="6"/>
      <c r="N12" s="6"/>
      <c r="O12" s="6"/>
      <c r="P12" s="6"/>
      <c r="Q12" s="6"/>
      <c r="R12" s="6"/>
      <c r="S12" s="6"/>
      <c r="T12" s="75" t="s">
        <v>983</v>
      </c>
      <c r="U12" s="75" t="s">
        <v>325</v>
      </c>
      <c r="V12" s="8" t="s">
        <v>746</v>
      </c>
      <c r="W12" s="75" t="s">
        <v>793</v>
      </c>
      <c r="X12" s="8"/>
      <c r="Y12" s="116" t="s">
        <v>1035</v>
      </c>
    </row>
    <row r="13" spans="1:25" ht="38.5" customHeight="1" x14ac:dyDescent="0.5">
      <c r="A13" s="2" t="s">
        <v>4</v>
      </c>
      <c r="B13" s="106" t="s">
        <v>326</v>
      </c>
      <c r="C13" s="4" t="s">
        <v>216</v>
      </c>
      <c r="D13" s="18" t="s">
        <v>572</v>
      </c>
      <c r="E13" s="6"/>
      <c r="F13" s="6"/>
      <c r="G13" s="6"/>
      <c r="H13" s="6"/>
      <c r="I13" s="6"/>
      <c r="J13" s="6"/>
      <c r="K13" s="6"/>
      <c r="L13" s="6"/>
      <c r="M13" s="6"/>
      <c r="N13" s="6"/>
      <c r="O13" s="6"/>
      <c r="P13" s="6"/>
      <c r="Q13" s="6"/>
      <c r="R13" s="6"/>
      <c r="S13" s="6"/>
      <c r="T13" s="56" t="s">
        <v>984</v>
      </c>
      <c r="U13" s="37" t="s">
        <v>327</v>
      </c>
      <c r="V13" s="8" t="s">
        <v>746</v>
      </c>
      <c r="W13" s="8" t="s">
        <v>518</v>
      </c>
      <c r="X13" s="8"/>
      <c r="Y13" s="116" t="s">
        <v>1036</v>
      </c>
    </row>
    <row r="14" spans="1:25" hidden="1" x14ac:dyDescent="0.5">
      <c r="A14" s="2" t="s">
        <v>4</v>
      </c>
      <c r="B14" s="106" t="s">
        <v>328</v>
      </c>
      <c r="C14" s="4" t="s">
        <v>216</v>
      </c>
      <c r="D14" s="6"/>
      <c r="E14" s="6"/>
      <c r="F14" s="6"/>
      <c r="G14" s="6"/>
      <c r="H14" s="6"/>
      <c r="I14" s="6"/>
      <c r="J14" s="6"/>
      <c r="K14" s="6"/>
      <c r="L14" s="6"/>
      <c r="M14" s="6"/>
      <c r="N14" s="6"/>
      <c r="O14" s="6"/>
      <c r="P14" s="6"/>
      <c r="Q14" s="6"/>
      <c r="R14" s="6"/>
      <c r="S14" s="6"/>
      <c r="T14" s="37" t="s">
        <v>985</v>
      </c>
      <c r="U14" s="37" t="s">
        <v>329</v>
      </c>
      <c r="V14" s="8" t="s">
        <v>746</v>
      </c>
      <c r="W14" s="8" t="s">
        <v>518</v>
      </c>
      <c r="X14" s="8"/>
      <c r="Y14" s="8"/>
    </row>
    <row r="15" spans="1:25" ht="52.5" customHeight="1" x14ac:dyDescent="0.5">
      <c r="A15" s="27" t="s">
        <v>4</v>
      </c>
      <c r="B15" s="107" t="s">
        <v>330</v>
      </c>
      <c r="C15" s="4" t="s">
        <v>216</v>
      </c>
      <c r="D15" s="18" t="s">
        <v>105</v>
      </c>
      <c r="E15" s="6"/>
      <c r="F15" s="6"/>
      <c r="G15" s="6"/>
      <c r="H15" s="6"/>
      <c r="I15" s="6"/>
      <c r="J15" s="6"/>
      <c r="K15" s="6"/>
      <c r="L15" s="6"/>
      <c r="M15" s="6"/>
      <c r="N15" s="6"/>
      <c r="O15" s="6"/>
      <c r="P15" s="6"/>
      <c r="Q15" s="6"/>
      <c r="R15" s="6"/>
      <c r="S15" s="6"/>
      <c r="T15" s="56" t="s">
        <v>987</v>
      </c>
      <c r="U15" s="37" t="s">
        <v>331</v>
      </c>
      <c r="V15" s="8" t="s">
        <v>746</v>
      </c>
      <c r="W15" s="8" t="s">
        <v>518</v>
      </c>
      <c r="X15" s="8"/>
      <c r="Y15" s="116" t="s">
        <v>1027</v>
      </c>
    </row>
    <row r="16" spans="1:25" ht="19" customHeight="1" x14ac:dyDescent="0.5">
      <c r="A16" s="2" t="s">
        <v>4</v>
      </c>
      <c r="B16" s="106" t="s">
        <v>332</v>
      </c>
      <c r="C16" s="4" t="s">
        <v>1442</v>
      </c>
      <c r="D16" s="4" t="s">
        <v>333</v>
      </c>
      <c r="E16" s="6"/>
      <c r="F16" s="4" t="s">
        <v>334</v>
      </c>
      <c r="G16" s="4" t="s">
        <v>335</v>
      </c>
      <c r="H16" s="4" t="s">
        <v>336</v>
      </c>
      <c r="I16" s="6"/>
      <c r="J16" s="6"/>
      <c r="K16" s="6"/>
      <c r="L16" s="6"/>
      <c r="M16" s="6"/>
      <c r="N16" s="6"/>
      <c r="O16" s="6"/>
      <c r="P16" s="6"/>
      <c r="Q16" s="6"/>
      <c r="R16" s="6"/>
      <c r="S16" s="6"/>
      <c r="T16" s="56" t="s">
        <v>988</v>
      </c>
      <c r="U16" s="37" t="s">
        <v>337</v>
      </c>
      <c r="V16" s="8" t="s">
        <v>746</v>
      </c>
      <c r="W16" s="8" t="s">
        <v>518</v>
      </c>
      <c r="X16" s="8"/>
      <c r="Y16" s="8"/>
    </row>
    <row r="17" spans="1:25" ht="19.45" customHeight="1" x14ac:dyDescent="0.5">
      <c r="A17" s="2" t="s">
        <v>4</v>
      </c>
      <c r="B17" s="106" t="s">
        <v>532</v>
      </c>
      <c r="C17" s="4" t="s">
        <v>216</v>
      </c>
      <c r="D17" s="6"/>
      <c r="E17" s="6"/>
      <c r="F17" s="4" t="s">
        <v>339</v>
      </c>
      <c r="G17" s="6"/>
      <c r="H17" s="4" t="s">
        <v>336</v>
      </c>
      <c r="I17" s="6"/>
      <c r="J17" s="6"/>
      <c r="K17" s="6"/>
      <c r="L17" s="6"/>
      <c r="M17" s="6"/>
      <c r="N17" s="6"/>
      <c r="O17" s="6"/>
      <c r="P17" s="6"/>
      <c r="Q17" s="6"/>
      <c r="R17" s="6"/>
      <c r="S17" s="6"/>
      <c r="T17" s="56" t="s">
        <v>989</v>
      </c>
      <c r="U17" s="37" t="s">
        <v>573</v>
      </c>
      <c r="V17" s="8" t="s">
        <v>746</v>
      </c>
      <c r="W17" s="8" t="s">
        <v>518</v>
      </c>
      <c r="X17" s="8"/>
      <c r="Y17" s="8"/>
    </row>
    <row r="18" spans="1:25" ht="19.45" customHeight="1" x14ac:dyDescent="0.5">
      <c r="A18" s="2" t="s">
        <v>4</v>
      </c>
      <c r="B18" s="106" t="s">
        <v>338</v>
      </c>
      <c r="C18" s="4" t="s">
        <v>216</v>
      </c>
      <c r="D18" s="6"/>
      <c r="E18" s="6"/>
      <c r="F18" s="4" t="s">
        <v>339</v>
      </c>
      <c r="G18" s="6"/>
      <c r="H18" s="4" t="s">
        <v>336</v>
      </c>
      <c r="I18" s="6"/>
      <c r="J18" s="6"/>
      <c r="K18" s="6"/>
      <c r="L18" s="6"/>
      <c r="M18" s="6"/>
      <c r="N18" s="6"/>
      <c r="O18" s="6"/>
      <c r="P18" s="6"/>
      <c r="Q18" s="6"/>
      <c r="R18" s="6"/>
      <c r="S18" s="6"/>
      <c r="T18" s="37" t="s">
        <v>990</v>
      </c>
      <c r="U18" s="37" t="s">
        <v>340</v>
      </c>
      <c r="V18" s="8" t="s">
        <v>746</v>
      </c>
      <c r="W18" s="8" t="s">
        <v>518</v>
      </c>
      <c r="X18" s="8"/>
      <c r="Y18" s="8"/>
    </row>
    <row r="19" spans="1:25" x14ac:dyDescent="0.5">
      <c r="A19" s="2" t="s">
        <v>4</v>
      </c>
      <c r="B19" s="106" t="s">
        <v>533</v>
      </c>
      <c r="C19" s="4" t="s">
        <v>216</v>
      </c>
      <c r="D19" s="6"/>
      <c r="E19" s="6"/>
      <c r="F19" s="6"/>
      <c r="G19" s="6"/>
      <c r="H19" s="4" t="s">
        <v>336</v>
      </c>
      <c r="I19" s="6"/>
      <c r="J19" s="6"/>
      <c r="K19" s="6"/>
      <c r="L19" s="6"/>
      <c r="M19" s="6"/>
      <c r="N19" s="6"/>
      <c r="O19" s="6"/>
      <c r="P19" s="6"/>
      <c r="Q19" s="6"/>
      <c r="R19" s="6"/>
      <c r="S19" s="6"/>
      <c r="T19" s="37" t="s">
        <v>998</v>
      </c>
      <c r="U19" s="37" t="s">
        <v>574</v>
      </c>
      <c r="V19" s="8" t="s">
        <v>746</v>
      </c>
      <c r="W19" s="8" t="s">
        <v>518</v>
      </c>
      <c r="X19" s="8"/>
      <c r="Y19" s="8"/>
    </row>
    <row r="20" spans="1:25" x14ac:dyDescent="0.5">
      <c r="A20" s="2" t="s">
        <v>4</v>
      </c>
      <c r="B20" s="106" t="s">
        <v>341</v>
      </c>
      <c r="C20" s="4" t="s">
        <v>216</v>
      </c>
      <c r="D20" s="6"/>
      <c r="E20" s="6"/>
      <c r="F20" s="6"/>
      <c r="G20" s="6"/>
      <c r="H20" s="4" t="s">
        <v>336</v>
      </c>
      <c r="I20" s="6"/>
      <c r="J20" s="6"/>
      <c r="K20" s="6"/>
      <c r="L20" s="6"/>
      <c r="M20" s="6"/>
      <c r="N20" s="6"/>
      <c r="O20" s="6"/>
      <c r="P20" s="6"/>
      <c r="Q20" s="6"/>
      <c r="R20" s="6"/>
      <c r="S20" s="6"/>
      <c r="T20" s="37" t="s">
        <v>999</v>
      </c>
      <c r="U20" s="37" t="s">
        <v>342</v>
      </c>
      <c r="V20" s="8" t="s">
        <v>746</v>
      </c>
      <c r="W20" s="8" t="s">
        <v>518</v>
      </c>
      <c r="X20" s="8"/>
      <c r="Y20" s="8"/>
    </row>
    <row r="21" spans="1:25" x14ac:dyDescent="0.5">
      <c r="A21" s="2" t="s">
        <v>4</v>
      </c>
      <c r="B21" s="106" t="s">
        <v>343</v>
      </c>
      <c r="C21" s="6"/>
      <c r="D21" s="4" t="s">
        <v>344</v>
      </c>
      <c r="E21" s="6"/>
      <c r="F21" s="6"/>
      <c r="G21" s="6"/>
      <c r="H21" s="6"/>
      <c r="I21" s="6"/>
      <c r="J21" s="6"/>
      <c r="K21" s="6"/>
      <c r="L21" s="6"/>
      <c r="M21" s="6"/>
      <c r="N21" s="6"/>
      <c r="O21" s="6"/>
      <c r="P21" s="6"/>
      <c r="Q21" s="6"/>
      <c r="R21" s="6"/>
      <c r="S21" s="6"/>
      <c r="T21" s="102" t="s">
        <v>991</v>
      </c>
      <c r="U21" s="37" t="s">
        <v>345</v>
      </c>
      <c r="V21" s="8" t="s">
        <v>746</v>
      </c>
      <c r="W21" s="8" t="s">
        <v>518</v>
      </c>
      <c r="X21" s="115" t="s">
        <v>1021</v>
      </c>
      <c r="Y21" s="8"/>
    </row>
    <row r="22" spans="1:25" x14ac:dyDescent="0.5">
      <c r="A22" s="2" t="s">
        <v>4</v>
      </c>
      <c r="B22" s="106" t="s">
        <v>346</v>
      </c>
      <c r="C22" s="4" t="s">
        <v>1442</v>
      </c>
      <c r="D22" s="4" t="s">
        <v>347</v>
      </c>
      <c r="E22" s="6"/>
      <c r="F22" s="6"/>
      <c r="G22" s="4" t="s">
        <v>335</v>
      </c>
      <c r="H22" s="6"/>
      <c r="I22" s="6"/>
      <c r="J22" s="6"/>
      <c r="K22" s="6"/>
      <c r="L22" s="6"/>
      <c r="M22" s="6"/>
      <c r="N22" s="6"/>
      <c r="O22" s="6"/>
      <c r="P22" s="6"/>
      <c r="Q22" s="6"/>
      <c r="R22" s="6"/>
      <c r="S22" s="6"/>
      <c r="T22" s="102" t="s">
        <v>1000</v>
      </c>
      <c r="U22" s="37" t="s">
        <v>348</v>
      </c>
      <c r="V22" s="8" t="s">
        <v>746</v>
      </c>
      <c r="W22" s="8" t="s">
        <v>518</v>
      </c>
      <c r="X22" s="115" t="s">
        <v>1022</v>
      </c>
      <c r="Y22" s="8"/>
    </row>
    <row r="23" spans="1:25" x14ac:dyDescent="0.5">
      <c r="A23" s="2" t="s">
        <v>4</v>
      </c>
      <c r="B23" s="106" t="s">
        <v>349</v>
      </c>
      <c r="C23" t="s">
        <v>1610</v>
      </c>
      <c r="D23" s="4" t="s">
        <v>350</v>
      </c>
      <c r="E23" s="6"/>
      <c r="F23" s="6"/>
      <c r="G23" s="4" t="s">
        <v>335</v>
      </c>
      <c r="H23" s="4" t="s">
        <v>336</v>
      </c>
      <c r="I23" s="4" t="s">
        <v>351</v>
      </c>
      <c r="J23" s="6"/>
      <c r="K23" s="6"/>
      <c r="L23" s="6"/>
      <c r="M23" s="6"/>
      <c r="N23" s="6"/>
      <c r="O23" s="6"/>
      <c r="P23" s="6"/>
      <c r="Q23" s="6"/>
      <c r="R23" s="11" t="s">
        <v>1605</v>
      </c>
      <c r="S23" s="11" t="s">
        <v>1606</v>
      </c>
      <c r="T23" s="102" t="s">
        <v>1559</v>
      </c>
      <c r="U23" s="37" t="s">
        <v>352</v>
      </c>
      <c r="V23" s="8" t="s">
        <v>746</v>
      </c>
      <c r="W23" s="8" t="s">
        <v>518</v>
      </c>
      <c r="X23" s="8"/>
      <c r="Y23" s="8"/>
    </row>
    <row r="24" spans="1:25" x14ac:dyDescent="0.5">
      <c r="A24" s="2" t="s">
        <v>4</v>
      </c>
      <c r="B24" s="106" t="s">
        <v>353</v>
      </c>
      <c r="C24" s="4" t="s">
        <v>216</v>
      </c>
      <c r="D24" s="4" t="s">
        <v>354</v>
      </c>
      <c r="E24" s="6"/>
      <c r="F24" s="6"/>
      <c r="G24" s="4" t="s">
        <v>335</v>
      </c>
      <c r="H24" s="4" t="s">
        <v>336</v>
      </c>
      <c r="I24" s="4" t="s">
        <v>355</v>
      </c>
      <c r="J24" s="6"/>
      <c r="K24" s="6"/>
      <c r="L24" s="6"/>
      <c r="M24" s="6"/>
      <c r="N24" s="6"/>
      <c r="O24" s="6"/>
      <c r="P24" s="6"/>
      <c r="Q24" s="6"/>
      <c r="R24" s="11" t="s">
        <v>1607</v>
      </c>
      <c r="S24" s="11" t="s">
        <v>1606</v>
      </c>
      <c r="T24" s="102" t="s">
        <v>992</v>
      </c>
      <c r="U24" s="37" t="s">
        <v>352</v>
      </c>
      <c r="V24" s="8" t="s">
        <v>746</v>
      </c>
      <c r="W24" s="8" t="s">
        <v>518</v>
      </c>
      <c r="X24" s="8"/>
      <c r="Y24" s="8"/>
    </row>
    <row r="25" spans="1:25" x14ac:dyDescent="0.5">
      <c r="A25" s="2" t="s">
        <v>4</v>
      </c>
      <c r="B25" s="106" t="s">
        <v>356</v>
      </c>
      <c r="C25" s="4" t="s">
        <v>1575</v>
      </c>
      <c r="D25" s="4" t="s">
        <v>335</v>
      </c>
      <c r="E25" s="6"/>
      <c r="F25" s="4" t="s">
        <v>334</v>
      </c>
      <c r="G25" s="4" t="s">
        <v>357</v>
      </c>
      <c r="H25" s="6"/>
      <c r="I25" s="6"/>
      <c r="J25" s="6"/>
      <c r="K25" s="6"/>
      <c r="L25" s="6"/>
      <c r="M25" s="6"/>
      <c r="N25" s="6"/>
      <c r="O25" s="6"/>
      <c r="P25" s="6"/>
      <c r="Q25" s="6"/>
      <c r="R25" s="6"/>
      <c r="S25" s="6"/>
      <c r="T25" s="102" t="s">
        <v>993</v>
      </c>
      <c r="U25" s="37" t="s">
        <v>358</v>
      </c>
      <c r="V25" s="8" t="s">
        <v>746</v>
      </c>
      <c r="W25" s="8" t="s">
        <v>518</v>
      </c>
      <c r="X25" s="8"/>
      <c r="Y25" s="8"/>
    </row>
    <row r="26" spans="1:25" x14ac:dyDescent="0.5">
      <c r="A26" s="2" t="s">
        <v>4</v>
      </c>
      <c r="B26" s="106" t="s">
        <v>530</v>
      </c>
      <c r="C26" s="6"/>
      <c r="D26" s="6"/>
      <c r="E26" s="6"/>
      <c r="F26" s="6"/>
      <c r="G26" s="6"/>
      <c r="H26" s="6"/>
      <c r="I26" s="6"/>
      <c r="J26" s="4" t="s">
        <v>607</v>
      </c>
      <c r="K26" s="6"/>
      <c r="L26" s="6"/>
      <c r="M26" s="6"/>
      <c r="N26" s="6"/>
      <c r="O26" s="6"/>
      <c r="P26" s="6"/>
      <c r="Q26" s="6"/>
      <c r="R26" s="6"/>
      <c r="S26" s="6"/>
      <c r="T26" s="37" t="s">
        <v>986</v>
      </c>
      <c r="U26" s="37" t="s">
        <v>531</v>
      </c>
      <c r="V26" s="8" t="s">
        <v>746</v>
      </c>
      <c r="W26" s="8" t="s">
        <v>518</v>
      </c>
      <c r="X26" s="8"/>
      <c r="Y26" s="8"/>
    </row>
    <row r="27" spans="1:25" x14ac:dyDescent="0.5">
      <c r="A27" s="2" t="s">
        <v>4</v>
      </c>
      <c r="B27" s="106" t="s">
        <v>588</v>
      </c>
      <c r="C27" s="4" t="s">
        <v>216</v>
      </c>
      <c r="D27" s="6"/>
      <c r="E27" s="6"/>
      <c r="F27" s="6"/>
      <c r="G27" s="6"/>
      <c r="H27" s="6"/>
      <c r="I27" s="6"/>
      <c r="J27" s="6"/>
      <c r="K27" s="4" t="s">
        <v>589</v>
      </c>
      <c r="L27" s="4" t="s">
        <v>590</v>
      </c>
      <c r="M27" s="6"/>
      <c r="N27" s="6"/>
      <c r="O27" s="6"/>
      <c r="P27" s="6"/>
      <c r="Q27" s="6"/>
      <c r="R27" s="6"/>
      <c r="S27" s="6"/>
      <c r="T27" s="102" t="s">
        <v>994</v>
      </c>
      <c r="U27" s="37" t="s">
        <v>591</v>
      </c>
      <c r="V27" s="8" t="s">
        <v>746</v>
      </c>
      <c r="W27" s="8" t="s">
        <v>518</v>
      </c>
      <c r="X27" s="8"/>
      <c r="Y27" s="8"/>
    </row>
    <row r="28" spans="1:25" x14ac:dyDescent="0.5">
      <c r="A28" s="2" t="s">
        <v>4</v>
      </c>
      <c r="B28" s="106" t="s">
        <v>667</v>
      </c>
      <c r="C28" s="4" t="s">
        <v>216</v>
      </c>
      <c r="D28" s="6"/>
      <c r="E28" s="6"/>
      <c r="F28" s="6"/>
      <c r="G28" s="6"/>
      <c r="H28" s="6"/>
      <c r="I28" s="6"/>
      <c r="J28" s="6"/>
      <c r="K28" s="6"/>
      <c r="L28" s="6"/>
      <c r="M28" s="6"/>
      <c r="N28" s="6"/>
      <c r="O28" s="6"/>
      <c r="P28" s="6"/>
      <c r="Q28" s="6"/>
      <c r="R28" s="6"/>
      <c r="S28" s="6"/>
      <c r="T28" s="75" t="s">
        <v>995</v>
      </c>
      <c r="U28" s="75" t="s">
        <v>668</v>
      </c>
      <c r="V28" s="8" t="s">
        <v>746</v>
      </c>
      <c r="W28" s="75" t="s">
        <v>793</v>
      </c>
      <c r="X28" s="8"/>
      <c r="Y28" s="8"/>
    </row>
    <row r="29" spans="1:25" x14ac:dyDescent="0.5">
      <c r="A29" s="2" t="s">
        <v>4</v>
      </c>
      <c r="B29" s="108" t="s">
        <v>678</v>
      </c>
      <c r="C29" s="6"/>
      <c r="D29" s="6"/>
      <c r="E29" s="6"/>
      <c r="F29" s="6"/>
      <c r="G29" s="6"/>
      <c r="H29" s="6"/>
      <c r="I29" s="6"/>
      <c r="J29" s="6"/>
      <c r="K29" s="6"/>
      <c r="L29" s="6"/>
      <c r="M29" s="4" t="s">
        <v>679</v>
      </c>
      <c r="N29" s="6"/>
      <c r="O29" s="6"/>
      <c r="P29" s="6"/>
      <c r="Q29" s="6"/>
      <c r="R29" s="6"/>
      <c r="S29" s="6"/>
      <c r="T29" s="102" t="s">
        <v>996</v>
      </c>
      <c r="U29" s="110" t="s">
        <v>680</v>
      </c>
      <c r="V29" s="8" t="s">
        <v>746</v>
      </c>
      <c r="W29" s="8" t="s">
        <v>518</v>
      </c>
      <c r="X29" s="8"/>
      <c r="Y29" s="8"/>
    </row>
    <row r="30" spans="1:25" x14ac:dyDescent="0.5">
      <c r="A30" s="2" t="s">
        <v>4</v>
      </c>
      <c r="B30" s="106" t="s">
        <v>692</v>
      </c>
      <c r="C30" s="4" t="s">
        <v>216</v>
      </c>
      <c r="D30" s="6"/>
      <c r="E30" s="6"/>
      <c r="F30" s="6"/>
      <c r="G30" s="6"/>
      <c r="H30" s="6"/>
      <c r="I30" s="6"/>
      <c r="J30" s="6"/>
      <c r="K30" s="6"/>
      <c r="L30" s="30"/>
      <c r="M30" s="6"/>
      <c r="N30" s="6"/>
      <c r="O30" s="6"/>
      <c r="P30" s="6"/>
      <c r="Q30" s="6"/>
      <c r="R30" s="6"/>
      <c r="S30" s="6"/>
      <c r="T30" s="102" t="s">
        <v>997</v>
      </c>
      <c r="U30" s="37" t="s">
        <v>693</v>
      </c>
      <c r="V30" s="8" t="s">
        <v>746</v>
      </c>
      <c r="W30" s="8" t="s">
        <v>518</v>
      </c>
      <c r="X30" s="8"/>
      <c r="Y30" s="8"/>
    </row>
    <row r="31" spans="1:25" x14ac:dyDescent="0.5">
      <c r="A31" s="2" t="s">
        <v>4</v>
      </c>
      <c r="B31" s="106" t="s">
        <v>704</v>
      </c>
      <c r="C31" s="4" t="s">
        <v>570</v>
      </c>
      <c r="D31" s="6"/>
      <c r="E31" s="6"/>
      <c r="F31" s="4" t="s">
        <v>705</v>
      </c>
      <c r="G31" s="6"/>
      <c r="H31" s="4" t="s">
        <v>226</v>
      </c>
      <c r="I31" s="6"/>
      <c r="J31" s="6"/>
      <c r="K31" s="6"/>
      <c r="L31" s="6"/>
      <c r="M31" s="6"/>
      <c r="N31" s="4" t="s">
        <v>360</v>
      </c>
      <c r="O31" s="4" t="s">
        <v>361</v>
      </c>
      <c r="P31" s="11" t="s">
        <v>362</v>
      </c>
      <c r="Q31" s="11" t="s">
        <v>703</v>
      </c>
      <c r="R31" s="6"/>
      <c r="S31" s="6"/>
      <c r="T31" s="75" t="s">
        <v>1001</v>
      </c>
      <c r="U31" s="75" t="s">
        <v>706</v>
      </c>
      <c r="V31" s="8" t="s">
        <v>792</v>
      </c>
      <c r="W31" s="75" t="s">
        <v>793</v>
      </c>
      <c r="Y31" s="8"/>
    </row>
    <row r="32" spans="1:25" ht="80.5" customHeight="1" x14ac:dyDescent="0.5">
      <c r="A32" s="2" t="s">
        <v>4</v>
      </c>
      <c r="B32" s="75" t="s">
        <v>1002</v>
      </c>
      <c r="C32" s="4" t="s">
        <v>216</v>
      </c>
      <c r="D32" s="6"/>
      <c r="E32" s="6"/>
      <c r="F32" s="6"/>
      <c r="G32" s="6"/>
      <c r="H32" s="6"/>
      <c r="I32" s="6"/>
      <c r="J32" s="6"/>
      <c r="K32" s="6"/>
      <c r="L32" s="6"/>
      <c r="M32" s="6"/>
      <c r="N32" s="6"/>
      <c r="O32" s="6"/>
      <c r="P32" s="6"/>
      <c r="Q32" s="6"/>
      <c r="R32" s="6"/>
      <c r="S32" s="6"/>
      <c r="T32" s="37" t="s">
        <v>1339</v>
      </c>
      <c r="U32" s="75" t="s">
        <v>1003</v>
      </c>
      <c r="V32" s="8" t="s">
        <v>792</v>
      </c>
      <c r="W32" s="75" t="s">
        <v>793</v>
      </c>
      <c r="X32" s="114" t="s">
        <v>838</v>
      </c>
      <c r="Y32" s="116" t="s">
        <v>1023</v>
      </c>
    </row>
    <row r="33" spans="1:25" ht="54" customHeight="1" x14ac:dyDescent="0.5">
      <c r="A33" s="2" t="s">
        <v>4</v>
      </c>
      <c r="B33" s="75" t="s">
        <v>1004</v>
      </c>
      <c r="C33" s="4" t="s">
        <v>216</v>
      </c>
      <c r="D33" s="6"/>
      <c r="E33" s="6"/>
      <c r="F33" s="6"/>
      <c r="G33" s="6"/>
      <c r="H33" s="6"/>
      <c r="I33" s="6"/>
      <c r="J33" s="6"/>
      <c r="K33" s="6"/>
      <c r="L33" s="6"/>
      <c r="M33" s="6"/>
      <c r="N33" s="6"/>
      <c r="O33" s="6"/>
      <c r="P33" s="6"/>
      <c r="Q33" s="6"/>
      <c r="R33" s="6"/>
      <c r="S33" s="6"/>
      <c r="T33" s="37" t="s">
        <v>1340</v>
      </c>
      <c r="U33" s="75" t="s">
        <v>1005</v>
      </c>
      <c r="V33" s="8" t="s">
        <v>792</v>
      </c>
      <c r="W33" s="75" t="s">
        <v>793</v>
      </c>
      <c r="X33" s="114" t="s">
        <v>838</v>
      </c>
      <c r="Y33" s="116" t="s">
        <v>1024</v>
      </c>
    </row>
    <row r="34" spans="1:25" ht="61.5" customHeight="1" x14ac:dyDescent="0.5">
      <c r="A34" s="2" t="s">
        <v>4</v>
      </c>
      <c r="B34" s="75" t="s">
        <v>1006</v>
      </c>
      <c r="C34" s="4" t="s">
        <v>216</v>
      </c>
      <c r="D34" s="6"/>
      <c r="E34" s="6"/>
      <c r="F34" s="6"/>
      <c r="G34" s="6"/>
      <c r="H34" s="6"/>
      <c r="I34" s="6"/>
      <c r="J34" s="6"/>
      <c r="K34" s="6"/>
      <c r="L34" s="6"/>
      <c r="M34" s="6"/>
      <c r="N34" s="6"/>
      <c r="O34" s="6"/>
      <c r="P34" s="6"/>
      <c r="Q34" s="6"/>
      <c r="R34" s="6"/>
      <c r="S34" s="6"/>
      <c r="T34" s="37" t="s">
        <v>1341</v>
      </c>
      <c r="U34" s="75" t="s">
        <v>1007</v>
      </c>
      <c r="V34" s="8" t="s">
        <v>792</v>
      </c>
      <c r="W34" s="75" t="s">
        <v>793</v>
      </c>
      <c r="X34" s="114" t="s">
        <v>838</v>
      </c>
      <c r="Y34" s="116" t="s">
        <v>1025</v>
      </c>
    </row>
    <row r="35" spans="1:25" x14ac:dyDescent="0.5">
      <c r="A35" s="2" t="s">
        <v>4</v>
      </c>
      <c r="B35" s="106" t="s">
        <v>1009</v>
      </c>
      <c r="C35" s="6"/>
      <c r="D35" s="6"/>
      <c r="E35" s="6"/>
      <c r="F35" s="6"/>
      <c r="G35" s="6"/>
      <c r="H35" s="6"/>
      <c r="I35" s="6"/>
      <c r="J35" s="6"/>
      <c r="K35" s="6"/>
      <c r="L35" s="6"/>
      <c r="M35" s="6"/>
      <c r="N35" s="6"/>
      <c r="O35" s="6"/>
      <c r="P35" s="6"/>
      <c r="Q35" s="6"/>
      <c r="R35" s="6"/>
      <c r="S35" s="6"/>
      <c r="T35" s="56" t="s">
        <v>1008</v>
      </c>
      <c r="U35" s="88" t="s">
        <v>1010</v>
      </c>
      <c r="V35" s="8" t="s">
        <v>746</v>
      </c>
      <c r="W35" s="8" t="s">
        <v>518</v>
      </c>
      <c r="X35" s="8"/>
      <c r="Y35" s="8"/>
    </row>
    <row r="36" spans="1:25" ht="54" customHeight="1" x14ac:dyDescent="0.5">
      <c r="A36" s="2" t="s">
        <v>4</v>
      </c>
      <c r="B36" s="106" t="s">
        <v>1013</v>
      </c>
      <c r="C36" s="6"/>
      <c r="D36" s="6"/>
      <c r="E36" s="6"/>
      <c r="F36" s="6"/>
      <c r="G36" s="6"/>
      <c r="H36" s="6"/>
      <c r="I36" s="6"/>
      <c r="J36" s="6"/>
      <c r="K36" s="6"/>
      <c r="L36" s="6"/>
      <c r="M36" s="6"/>
      <c r="N36" s="6"/>
      <c r="O36" s="6"/>
      <c r="P36" s="6"/>
      <c r="Q36" s="6"/>
      <c r="R36" s="187"/>
      <c r="S36" s="187"/>
      <c r="T36" t="s">
        <v>1011</v>
      </c>
      <c r="U36" s="53" t="s">
        <v>1012</v>
      </c>
      <c r="V36" s="8" t="s">
        <v>746</v>
      </c>
      <c r="W36" s="8" t="s">
        <v>518</v>
      </c>
      <c r="X36" s="8"/>
      <c r="Y36" s="116" t="s">
        <v>1026</v>
      </c>
    </row>
    <row r="37" spans="1:25" ht="50.5" customHeight="1" x14ac:dyDescent="0.5">
      <c r="A37" s="2" t="s">
        <v>4</v>
      </c>
      <c r="B37" s="106" t="s">
        <v>1016</v>
      </c>
      <c r="C37" s="6"/>
      <c r="D37" s="6"/>
      <c r="E37" s="6"/>
      <c r="F37" s="6"/>
      <c r="G37" s="6"/>
      <c r="H37" s="6"/>
      <c r="I37" s="6"/>
      <c r="J37" s="6"/>
      <c r="K37" s="6"/>
      <c r="L37" s="6"/>
      <c r="M37" s="6"/>
      <c r="N37" s="6"/>
      <c r="O37" s="6"/>
      <c r="P37" s="6"/>
      <c r="Q37" s="6"/>
      <c r="R37" s="6"/>
      <c r="S37" s="6"/>
      <c r="T37" s="56" t="s">
        <v>1014</v>
      </c>
      <c r="U37" s="112" t="s">
        <v>1015</v>
      </c>
      <c r="V37" s="8" t="s">
        <v>746</v>
      </c>
      <c r="W37" s="8" t="s">
        <v>518</v>
      </c>
      <c r="X37" s="8"/>
      <c r="Y37" s="116" t="s">
        <v>1031</v>
      </c>
    </row>
    <row r="38" spans="1:25" ht="61" customHeight="1" x14ac:dyDescent="0.5">
      <c r="A38" s="2" t="s">
        <v>4</v>
      </c>
      <c r="B38" s="106" t="s">
        <v>1019</v>
      </c>
      <c r="C38" s="6"/>
      <c r="D38" s="6"/>
      <c r="E38" s="6"/>
      <c r="F38" s="6"/>
      <c r="G38" s="6"/>
      <c r="H38" s="6"/>
      <c r="I38" s="6"/>
      <c r="J38" s="6"/>
      <c r="K38" s="6"/>
      <c r="L38" s="6"/>
      <c r="M38" s="6"/>
      <c r="N38" s="6"/>
      <c r="O38" s="6"/>
      <c r="P38" s="6"/>
      <c r="Q38" s="6"/>
      <c r="R38" s="6"/>
      <c r="S38" s="6"/>
      <c r="T38" s="56" t="s">
        <v>1017</v>
      </c>
      <c r="U38" s="112" t="s">
        <v>1018</v>
      </c>
      <c r="V38" s="8" t="s">
        <v>746</v>
      </c>
      <c r="W38" s="8" t="s">
        <v>518</v>
      </c>
      <c r="X38" s="8"/>
      <c r="Y38" s="116" t="s">
        <v>1037</v>
      </c>
    </row>
  </sheetData>
  <hyperlinks>
    <hyperlink ref="P31" r:id="rId1" display="Eric@123" xr:uid="{969496F7-CF71-4684-BC6E-D22D4B982DC8}"/>
  </hyperlinks>
  <pageMargins left="0.7" right="0.7" top="0.75" bottom="0.75" header="0.3" footer="0.3"/>
  <pageSetup orientation="portrait" r:id="rId2"/>
  <headerFooter alignWithMargins="0"/>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F2A4D-84E4-4EFE-823B-16730F95E864}">
  <sheetPr codeName="Sheet4"/>
  <dimension ref="A1:T10"/>
  <sheetViews>
    <sheetView zoomScale="62" workbookViewId="0">
      <selection activeCell="C4" sqref="C4"/>
    </sheetView>
  </sheetViews>
  <sheetFormatPr defaultRowHeight="14.35" x14ac:dyDescent="0.5"/>
  <cols>
    <col min="2" max="2" width="89.52734375" customWidth="1"/>
    <col min="3" max="3" width="25.234375" customWidth="1"/>
    <col min="4" max="4" width="8.703125" customWidth="1"/>
    <col min="6" max="6" width="22.52734375" customWidth="1"/>
    <col min="7" max="7" width="13.8203125" customWidth="1"/>
    <col min="9" max="9" width="11.17578125" customWidth="1"/>
    <col min="10" max="10" width="25.703125" customWidth="1"/>
    <col min="11" max="11" width="13.17578125" customWidth="1"/>
    <col min="12" max="12" width="40.87890625" customWidth="1"/>
    <col min="13" max="13" width="28" customWidth="1"/>
    <col min="14" max="15" width="46.29296875" customWidth="1"/>
    <col min="16" max="16" width="56.8203125" customWidth="1"/>
    <col min="18" max="18" width="19" customWidth="1"/>
    <col min="19" max="19" width="31.46875" customWidth="1"/>
    <col min="20" max="20" width="21.46875" customWidth="1"/>
  </cols>
  <sheetData>
    <row r="1" spans="1:20" x14ac:dyDescent="0.5">
      <c r="A1" s="7" t="s">
        <v>0</v>
      </c>
      <c r="B1" s="7" t="s">
        <v>1</v>
      </c>
      <c r="C1" s="7" t="s">
        <v>8</v>
      </c>
      <c r="D1" s="9" t="s">
        <v>212</v>
      </c>
      <c r="E1" s="7" t="s">
        <v>248</v>
      </c>
      <c r="F1" s="24" t="s">
        <v>463</v>
      </c>
      <c r="G1" s="9" t="s">
        <v>110</v>
      </c>
      <c r="H1" s="9" t="s">
        <v>2</v>
      </c>
      <c r="I1" s="9" t="s">
        <v>3</v>
      </c>
      <c r="J1" s="9" t="s">
        <v>615</v>
      </c>
      <c r="K1" s="9" t="s">
        <v>616</v>
      </c>
      <c r="L1" s="9" t="s">
        <v>617</v>
      </c>
      <c r="M1" s="9" t="s">
        <v>647</v>
      </c>
      <c r="N1" s="9" t="s">
        <v>648</v>
      </c>
      <c r="O1" s="162" t="s">
        <v>1436</v>
      </c>
      <c r="P1" s="9" t="s">
        <v>68</v>
      </c>
      <c r="Q1" s="82" t="s">
        <v>745</v>
      </c>
      <c r="R1" s="83" t="s">
        <v>767</v>
      </c>
      <c r="S1" s="84" t="s">
        <v>770</v>
      </c>
      <c r="T1" s="85" t="s">
        <v>768</v>
      </c>
    </row>
    <row r="2" spans="1:20" ht="14.5" customHeight="1" x14ac:dyDescent="0.5">
      <c r="A2" s="16" t="s">
        <v>4</v>
      </c>
      <c r="B2" s="22" t="s">
        <v>256</v>
      </c>
      <c r="C2" s="4" t="s">
        <v>216</v>
      </c>
      <c r="D2" s="6"/>
      <c r="E2" s="4" t="s">
        <v>257</v>
      </c>
      <c r="F2" s="6"/>
      <c r="G2" s="6"/>
      <c r="H2" s="6"/>
      <c r="I2" s="6"/>
      <c r="J2" s="6"/>
      <c r="K2" s="6"/>
      <c r="L2" s="6"/>
      <c r="M2" s="6"/>
      <c r="N2" s="6"/>
      <c r="O2" s="101" t="s">
        <v>956</v>
      </c>
      <c r="P2" s="103" t="s">
        <v>971</v>
      </c>
      <c r="Q2" s="8" t="s">
        <v>746</v>
      </c>
      <c r="R2" s="103" t="s">
        <v>793</v>
      </c>
      <c r="S2" s="190" t="s">
        <v>853</v>
      </c>
      <c r="T2" s="8"/>
    </row>
    <row r="3" spans="1:20" x14ac:dyDescent="0.5">
      <c r="A3" s="16" t="s">
        <v>4</v>
      </c>
      <c r="B3" s="22" t="s">
        <v>258</v>
      </c>
      <c r="C3" s="4" t="s">
        <v>216</v>
      </c>
      <c r="D3" s="6"/>
      <c r="E3" s="6"/>
      <c r="F3" s="6"/>
      <c r="G3" s="6"/>
      <c r="H3" s="6"/>
      <c r="I3" s="6"/>
      <c r="J3" s="6"/>
      <c r="K3" s="6"/>
      <c r="L3" s="6"/>
      <c r="M3" s="6"/>
      <c r="N3" s="6"/>
      <c r="O3" s="101" t="s">
        <v>957</v>
      </c>
      <c r="P3" s="103" t="s">
        <v>972</v>
      </c>
      <c r="Q3" s="8" t="s">
        <v>746</v>
      </c>
      <c r="R3" s="103" t="s">
        <v>793</v>
      </c>
      <c r="S3" s="190"/>
      <c r="T3" s="8"/>
    </row>
    <row r="4" spans="1:20" x14ac:dyDescent="0.5">
      <c r="A4" s="2" t="s">
        <v>4</v>
      </c>
      <c r="B4" s="3" t="s">
        <v>259</v>
      </c>
      <c r="C4" s="4" t="s">
        <v>1610</v>
      </c>
      <c r="D4" s="4" t="s">
        <v>336</v>
      </c>
      <c r="E4" s="6"/>
      <c r="F4" s="6"/>
      <c r="G4" s="6"/>
      <c r="H4" s="6"/>
      <c r="I4" s="6"/>
      <c r="J4" s="6"/>
      <c r="K4" s="6"/>
      <c r="L4" s="6"/>
      <c r="M4" s="6"/>
      <c r="N4" s="6"/>
      <c r="O4" s="101" t="s">
        <v>961</v>
      </c>
      <c r="P4" s="37" t="s">
        <v>261</v>
      </c>
      <c r="Q4" s="8" t="s">
        <v>746</v>
      </c>
      <c r="R4" s="37" t="s">
        <v>518</v>
      </c>
      <c r="S4" s="90"/>
      <c r="T4" s="8"/>
    </row>
    <row r="5" spans="1:20" x14ac:dyDescent="0.5">
      <c r="A5" s="2" t="s">
        <v>4</v>
      </c>
      <c r="B5" s="22" t="s">
        <v>649</v>
      </c>
      <c r="C5" s="6"/>
      <c r="D5" s="6"/>
      <c r="E5" s="6"/>
      <c r="F5" s="4" t="s">
        <v>468</v>
      </c>
      <c r="G5" s="4" t="s">
        <v>360</v>
      </c>
      <c r="H5" s="4" t="s">
        <v>361</v>
      </c>
      <c r="I5" s="11" t="s">
        <v>362</v>
      </c>
      <c r="J5" s="11" t="s">
        <v>619</v>
      </c>
      <c r="K5" s="11" t="s">
        <v>620</v>
      </c>
      <c r="L5" s="11" t="s">
        <v>650</v>
      </c>
      <c r="M5" s="6"/>
      <c r="N5" s="11" t="s">
        <v>652</v>
      </c>
      <c r="O5" s="101" t="s">
        <v>958</v>
      </c>
      <c r="P5" s="103" t="s">
        <v>649</v>
      </c>
      <c r="Q5" s="8" t="s">
        <v>792</v>
      </c>
      <c r="R5" s="103" t="s">
        <v>793</v>
      </c>
      <c r="S5" s="90"/>
      <c r="T5" s="8"/>
    </row>
    <row r="6" spans="1:20" x14ac:dyDescent="0.5">
      <c r="A6" s="2" t="s">
        <v>4</v>
      </c>
      <c r="B6" s="22" t="s">
        <v>651</v>
      </c>
      <c r="C6" s="6"/>
      <c r="D6" s="6"/>
      <c r="E6" s="6"/>
      <c r="F6" s="6"/>
      <c r="G6" s="6"/>
      <c r="H6" s="6"/>
      <c r="I6" s="6"/>
      <c r="J6" s="6"/>
      <c r="K6" s="6"/>
      <c r="L6" s="11" t="s">
        <v>666</v>
      </c>
      <c r="M6" s="11" t="s">
        <v>645</v>
      </c>
      <c r="N6" s="11" t="s">
        <v>652</v>
      </c>
      <c r="O6" s="101" t="s">
        <v>959</v>
      </c>
      <c r="P6" s="103" t="s">
        <v>651</v>
      </c>
      <c r="Q6" s="8" t="s">
        <v>746</v>
      </c>
      <c r="R6" s="103" t="s">
        <v>793</v>
      </c>
      <c r="S6" s="8"/>
      <c r="T6" s="8"/>
    </row>
    <row r="7" spans="1:20" x14ac:dyDescent="0.5">
      <c r="A7" s="2" t="s">
        <v>4</v>
      </c>
      <c r="B7" s="3" t="s">
        <v>664</v>
      </c>
      <c r="C7" s="6"/>
      <c r="D7" s="6"/>
      <c r="E7" s="6"/>
      <c r="F7" s="6"/>
      <c r="G7" s="6"/>
      <c r="H7" s="6"/>
      <c r="I7" s="6"/>
      <c r="J7" s="6"/>
      <c r="K7" s="6"/>
      <c r="L7" s="29" t="s">
        <v>665</v>
      </c>
      <c r="M7" s="6"/>
      <c r="N7" s="6"/>
      <c r="O7" s="101" t="s">
        <v>960</v>
      </c>
      <c r="P7" s="104" t="s">
        <v>664</v>
      </c>
      <c r="Q7" s="8" t="s">
        <v>746</v>
      </c>
      <c r="R7" s="37" t="s">
        <v>518</v>
      </c>
      <c r="S7" s="8"/>
      <c r="T7" s="8"/>
    </row>
    <row r="8" spans="1:20" ht="14.5" customHeight="1" x14ac:dyDescent="0.5">
      <c r="A8" s="2" t="s">
        <v>4</v>
      </c>
      <c r="B8" s="3" t="s">
        <v>962</v>
      </c>
      <c r="C8" s="6"/>
      <c r="D8" s="6"/>
      <c r="E8" s="6"/>
      <c r="F8" s="6"/>
      <c r="G8" s="6"/>
      <c r="H8" s="6"/>
      <c r="I8" s="6"/>
      <c r="J8" s="6"/>
      <c r="K8" s="6"/>
      <c r="L8" s="6"/>
      <c r="M8" s="6"/>
      <c r="N8" s="6"/>
      <c r="O8" s="101" t="s">
        <v>966</v>
      </c>
      <c r="P8" s="104" t="s">
        <v>963</v>
      </c>
      <c r="Q8" s="8" t="s">
        <v>746</v>
      </c>
      <c r="R8" s="37" t="s">
        <v>518</v>
      </c>
      <c r="S8" s="190" t="s">
        <v>853</v>
      </c>
      <c r="T8" s="8"/>
    </row>
    <row r="9" spans="1:20" x14ac:dyDescent="0.5">
      <c r="A9" s="2" t="s">
        <v>4</v>
      </c>
      <c r="B9" s="3" t="s">
        <v>964</v>
      </c>
      <c r="C9" s="6"/>
      <c r="D9" s="6"/>
      <c r="E9" s="6"/>
      <c r="F9" s="6"/>
      <c r="G9" s="6"/>
      <c r="H9" s="6"/>
      <c r="I9" s="6"/>
      <c r="J9" s="6"/>
      <c r="K9" s="6"/>
      <c r="L9" s="6"/>
      <c r="M9" s="6"/>
      <c r="N9" s="6"/>
      <c r="O9" s="101" t="s">
        <v>967</v>
      </c>
      <c r="P9" s="104" t="s">
        <v>965</v>
      </c>
      <c r="Q9" s="8" t="s">
        <v>746</v>
      </c>
      <c r="R9" s="37" t="s">
        <v>518</v>
      </c>
      <c r="S9" s="190"/>
      <c r="T9" s="8"/>
    </row>
    <row r="10" spans="1:20" x14ac:dyDescent="0.5">
      <c r="A10" s="2" t="s">
        <v>4</v>
      </c>
      <c r="B10" s="3" t="s">
        <v>968</v>
      </c>
      <c r="C10" s="6"/>
      <c r="D10" s="6"/>
      <c r="E10" s="6"/>
      <c r="F10" s="6"/>
      <c r="G10" s="6"/>
      <c r="H10" s="6"/>
      <c r="I10" s="6"/>
      <c r="J10" s="6"/>
      <c r="K10" s="6"/>
      <c r="L10" s="6"/>
      <c r="M10" s="6"/>
      <c r="N10" s="6"/>
      <c r="O10" s="101" t="s">
        <v>970</v>
      </c>
      <c r="P10" s="104" t="s">
        <v>969</v>
      </c>
      <c r="Q10" s="8" t="s">
        <v>746</v>
      </c>
      <c r="R10" s="37" t="s">
        <v>518</v>
      </c>
      <c r="S10" s="90"/>
      <c r="T10" s="8"/>
    </row>
  </sheetData>
  <mergeCells count="2">
    <mergeCell ref="S8:S9"/>
    <mergeCell ref="S2:S3"/>
  </mergeCells>
  <hyperlinks>
    <hyperlink ref="I5" r:id="rId1" display="Eric@123" xr:uid="{CCD72529-8CF1-4837-9B80-0C1655513CCF}"/>
  </hyperlinks>
  <pageMargins left="0.7" right="0.7" top="0.75" bottom="0.75" header="0.3" footer="0.3"/>
  <pageSetup paperSize="9" orientation="portrait"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0223F-0E3A-4BD3-8E84-91AE98F1D8A8}">
  <dimension ref="A1:R17"/>
  <sheetViews>
    <sheetView zoomScale="57" workbookViewId="0">
      <selection activeCell="J31" sqref="J31"/>
    </sheetView>
  </sheetViews>
  <sheetFormatPr defaultRowHeight="14.35" x14ac:dyDescent="0.5"/>
  <cols>
    <col min="2" max="2" width="21.46875" customWidth="1"/>
    <col min="3" max="3" width="13.17578125" customWidth="1"/>
    <col min="5" max="5" width="13.3515625" customWidth="1"/>
    <col min="6" max="6" width="15" customWidth="1"/>
    <col min="7" max="7" width="18.29296875" customWidth="1"/>
    <col min="8" max="8" width="19.52734375" customWidth="1"/>
    <col min="9" max="9" width="17.17578125" customWidth="1"/>
    <col min="10" max="10" width="23.29296875" customWidth="1"/>
    <col min="11" max="11" width="16.87890625" customWidth="1"/>
    <col min="12" max="12" width="23.05859375" customWidth="1"/>
    <col min="13" max="13" width="34.3515625" style="98" customWidth="1"/>
    <col min="14" max="14" width="59.05859375" customWidth="1"/>
    <col min="16" max="16" width="16.46875" customWidth="1"/>
    <col min="17" max="17" width="38.87890625" customWidth="1"/>
    <col min="18" max="18" width="24.8203125" customWidth="1"/>
  </cols>
  <sheetData>
    <row r="1" spans="1:18" x14ac:dyDescent="0.5">
      <c r="A1" s="9" t="s">
        <v>0</v>
      </c>
      <c r="B1" s="9" t="s">
        <v>1</v>
      </c>
      <c r="C1" s="9" t="s">
        <v>155</v>
      </c>
      <c r="D1" s="9" t="s">
        <v>2</v>
      </c>
      <c r="E1" s="9" t="s">
        <v>3</v>
      </c>
      <c r="F1" s="24" t="s">
        <v>724</v>
      </c>
      <c r="G1" s="24" t="s">
        <v>725</v>
      </c>
      <c r="H1" s="24" t="s">
        <v>741</v>
      </c>
      <c r="I1" s="24" t="s">
        <v>742</v>
      </c>
      <c r="J1" s="24" t="s">
        <v>743</v>
      </c>
      <c r="K1" s="9" t="s">
        <v>615</v>
      </c>
      <c r="L1" s="9" t="s">
        <v>616</v>
      </c>
      <c r="M1" s="94" t="s">
        <v>1436</v>
      </c>
      <c r="N1" s="81" t="s">
        <v>68</v>
      </c>
      <c r="O1" s="82" t="s">
        <v>745</v>
      </c>
      <c r="P1" s="83" t="s">
        <v>767</v>
      </c>
      <c r="Q1" s="84" t="s">
        <v>770</v>
      </c>
      <c r="R1" s="85" t="s">
        <v>768</v>
      </c>
    </row>
    <row r="2" spans="1:18" x14ac:dyDescent="0.5">
      <c r="A2" s="2" t="s">
        <v>4</v>
      </c>
      <c r="B2" s="3" t="s">
        <v>601</v>
      </c>
      <c r="C2" s="4" t="s">
        <v>360</v>
      </c>
      <c r="D2" s="4" t="s">
        <v>361</v>
      </c>
      <c r="E2" s="4" t="s">
        <v>362</v>
      </c>
      <c r="F2" s="4" t="s">
        <v>5</v>
      </c>
      <c r="G2" s="4" t="s">
        <v>365</v>
      </c>
      <c r="H2" s="4" t="s">
        <v>363</v>
      </c>
      <c r="I2" s="4" t="s">
        <v>364</v>
      </c>
      <c r="J2" s="4" t="s">
        <v>1338</v>
      </c>
      <c r="K2" s="6"/>
      <c r="L2" s="6"/>
      <c r="M2" s="95"/>
      <c r="N2" s="8"/>
      <c r="O2" s="8"/>
      <c r="P2" s="8"/>
      <c r="Q2" s="8"/>
      <c r="R2" s="8"/>
    </row>
    <row r="3" spans="1:18" x14ac:dyDescent="0.5">
      <c r="A3" s="2" t="s">
        <v>4</v>
      </c>
      <c r="B3" s="3" t="s">
        <v>737</v>
      </c>
      <c r="C3" s="4" t="s">
        <v>360</v>
      </c>
      <c r="D3" s="4" t="s">
        <v>361</v>
      </c>
      <c r="E3" s="4" t="s">
        <v>362</v>
      </c>
      <c r="F3" s="6"/>
      <c r="G3" s="6"/>
      <c r="H3" s="4" t="s">
        <v>736</v>
      </c>
      <c r="I3" s="4" t="s">
        <v>361</v>
      </c>
      <c r="J3" s="4" t="s">
        <v>156</v>
      </c>
      <c r="K3" s="6"/>
      <c r="L3" s="6"/>
      <c r="M3" s="96" t="s">
        <v>928</v>
      </c>
      <c r="N3" s="99" t="s">
        <v>945</v>
      </c>
      <c r="O3" s="8" t="s">
        <v>792</v>
      </c>
      <c r="P3" s="99" t="s">
        <v>793</v>
      </c>
      <c r="Q3" s="100" t="s">
        <v>955</v>
      </c>
      <c r="R3" s="191" t="s">
        <v>841</v>
      </c>
    </row>
    <row r="4" spans="1:18" ht="29.5" customHeight="1" x14ac:dyDescent="0.5">
      <c r="A4" s="2" t="s">
        <v>4</v>
      </c>
      <c r="B4" s="3" t="s">
        <v>744</v>
      </c>
      <c r="C4" s="4" t="s">
        <v>360</v>
      </c>
      <c r="D4" s="4" t="s">
        <v>361</v>
      </c>
      <c r="E4" s="4" t="s">
        <v>362</v>
      </c>
      <c r="F4" s="6"/>
      <c r="G4" s="6"/>
      <c r="H4" s="4" t="s">
        <v>363</v>
      </c>
      <c r="I4" s="4" t="s">
        <v>364</v>
      </c>
      <c r="J4" s="4" t="s">
        <v>1338</v>
      </c>
      <c r="K4" s="11" t="s">
        <v>619</v>
      </c>
      <c r="L4" s="11" t="s">
        <v>620</v>
      </c>
      <c r="M4" s="95" t="s">
        <v>933</v>
      </c>
      <c r="N4" s="33" t="s">
        <v>946</v>
      </c>
      <c r="O4" s="8" t="s">
        <v>792</v>
      </c>
      <c r="P4" s="8" t="s">
        <v>518</v>
      </c>
      <c r="Q4" s="8"/>
      <c r="R4" s="192"/>
    </row>
    <row r="5" spans="1:18" ht="22.7" x14ac:dyDescent="0.5">
      <c r="A5" s="2" t="s">
        <v>4</v>
      </c>
      <c r="B5" s="3" t="s">
        <v>937</v>
      </c>
      <c r="C5" s="6"/>
      <c r="D5" s="6"/>
      <c r="E5" s="6"/>
      <c r="F5" s="6"/>
      <c r="G5" s="6"/>
      <c r="H5" s="6"/>
      <c r="I5" s="6"/>
      <c r="J5" s="6"/>
      <c r="K5" s="6"/>
      <c r="L5" s="6"/>
      <c r="M5" s="95" t="s">
        <v>929</v>
      </c>
      <c r="N5" s="33" t="s">
        <v>947</v>
      </c>
      <c r="O5" s="8" t="s">
        <v>792</v>
      </c>
      <c r="P5" s="8" t="s">
        <v>518</v>
      </c>
      <c r="Q5" s="8"/>
      <c r="R5" s="192"/>
    </row>
    <row r="6" spans="1:18" ht="22.7" x14ac:dyDescent="0.5">
      <c r="A6" s="2" t="s">
        <v>4</v>
      </c>
      <c r="B6" s="3" t="s">
        <v>938</v>
      </c>
      <c r="C6" s="6"/>
      <c r="D6" s="6"/>
      <c r="E6" s="6"/>
      <c r="F6" s="6"/>
      <c r="G6" s="6"/>
      <c r="H6" s="6"/>
      <c r="I6" s="6"/>
      <c r="J6" s="6"/>
      <c r="K6" s="6"/>
      <c r="L6" s="6"/>
      <c r="M6" s="95" t="s">
        <v>930</v>
      </c>
      <c r="N6" s="33" t="s">
        <v>948</v>
      </c>
      <c r="O6" s="8" t="s">
        <v>792</v>
      </c>
      <c r="P6" s="8" t="s">
        <v>518</v>
      </c>
      <c r="Q6" s="8"/>
      <c r="R6" s="192"/>
    </row>
    <row r="7" spans="1:18" ht="22.7" x14ac:dyDescent="0.5">
      <c r="A7" s="2" t="s">
        <v>4</v>
      </c>
      <c r="B7" s="3" t="s">
        <v>939</v>
      </c>
      <c r="C7" s="6"/>
      <c r="D7" s="6"/>
      <c r="E7" s="6"/>
      <c r="F7" s="6"/>
      <c r="G7" s="6"/>
      <c r="H7" s="6"/>
      <c r="I7" s="6"/>
      <c r="J7" s="6"/>
      <c r="K7" s="6"/>
      <c r="L7" s="6"/>
      <c r="M7" s="95" t="s">
        <v>931</v>
      </c>
      <c r="N7" s="33" t="s">
        <v>949</v>
      </c>
      <c r="O7" s="8" t="s">
        <v>792</v>
      </c>
      <c r="P7" s="8" t="s">
        <v>518</v>
      </c>
      <c r="Q7" s="8"/>
      <c r="R7" s="192"/>
    </row>
    <row r="8" spans="1:18" ht="22.7" x14ac:dyDescent="0.5">
      <c r="A8" s="2" t="s">
        <v>4</v>
      </c>
      <c r="B8" s="3" t="s">
        <v>940</v>
      </c>
      <c r="C8" s="6"/>
      <c r="D8" s="6"/>
      <c r="E8" s="6"/>
      <c r="F8" s="6"/>
      <c r="G8" s="6"/>
      <c r="H8" s="6"/>
      <c r="I8" s="6"/>
      <c r="J8" s="6"/>
      <c r="K8" s="6"/>
      <c r="L8" s="6"/>
      <c r="M8" s="95" t="s">
        <v>932</v>
      </c>
      <c r="N8" s="33" t="s">
        <v>950</v>
      </c>
      <c r="O8" s="8" t="s">
        <v>792</v>
      </c>
      <c r="P8" s="8" t="s">
        <v>518</v>
      </c>
      <c r="Q8" s="8"/>
      <c r="R8" s="192"/>
    </row>
    <row r="9" spans="1:18" ht="22.7" x14ac:dyDescent="0.5">
      <c r="A9" s="2" t="s">
        <v>4</v>
      </c>
      <c r="B9" s="3" t="s">
        <v>941</v>
      </c>
      <c r="C9" s="6"/>
      <c r="D9" s="6"/>
      <c r="E9" s="6"/>
      <c r="F9" s="6"/>
      <c r="G9" s="6"/>
      <c r="H9" s="6"/>
      <c r="I9" s="6"/>
      <c r="J9" s="6"/>
      <c r="K9" s="6"/>
      <c r="L9" s="6"/>
      <c r="M9" s="95" t="s">
        <v>934</v>
      </c>
      <c r="N9" s="33" t="s">
        <v>951</v>
      </c>
      <c r="O9" s="8" t="s">
        <v>792</v>
      </c>
      <c r="P9" s="8" t="s">
        <v>518</v>
      </c>
      <c r="Q9" s="8"/>
      <c r="R9" s="192"/>
    </row>
    <row r="10" spans="1:18" ht="22.7" x14ac:dyDescent="0.5">
      <c r="A10" s="2" t="s">
        <v>4</v>
      </c>
      <c r="B10" s="3" t="s">
        <v>942</v>
      </c>
      <c r="C10" s="6"/>
      <c r="D10" s="6"/>
      <c r="E10" s="6"/>
      <c r="F10" s="6"/>
      <c r="G10" s="6"/>
      <c r="H10" s="6"/>
      <c r="I10" s="6"/>
      <c r="J10" s="6"/>
      <c r="K10" s="6"/>
      <c r="L10" s="6"/>
      <c r="M10" s="95" t="s">
        <v>935</v>
      </c>
      <c r="N10" s="33" t="s">
        <v>952</v>
      </c>
      <c r="O10" s="8" t="s">
        <v>792</v>
      </c>
      <c r="P10" s="8" t="s">
        <v>518</v>
      </c>
      <c r="Q10" s="8"/>
      <c r="R10" s="192"/>
    </row>
    <row r="11" spans="1:18" ht="22.7" x14ac:dyDescent="0.5">
      <c r="A11" s="2" t="s">
        <v>4</v>
      </c>
      <c r="B11" s="3" t="s">
        <v>944</v>
      </c>
      <c r="C11" s="6"/>
      <c r="D11" s="6"/>
      <c r="E11" s="6"/>
      <c r="F11" s="6"/>
      <c r="G11" s="6"/>
      <c r="H11" s="6"/>
      <c r="I11" s="6"/>
      <c r="J11" s="6"/>
      <c r="K11" s="6"/>
      <c r="L11" s="6"/>
      <c r="M11" s="95" t="s">
        <v>936</v>
      </c>
      <c r="N11" s="33" t="s">
        <v>953</v>
      </c>
      <c r="O11" s="8" t="s">
        <v>792</v>
      </c>
      <c r="P11" s="8" t="s">
        <v>518</v>
      </c>
      <c r="Q11" s="8"/>
      <c r="R11" s="193"/>
    </row>
    <row r="12" spans="1:18" x14ac:dyDescent="0.5">
      <c r="A12" s="2" t="s">
        <v>4</v>
      </c>
      <c r="B12" s="3" t="s">
        <v>943</v>
      </c>
      <c r="C12" s="6"/>
      <c r="D12" s="6"/>
      <c r="E12" s="6"/>
      <c r="F12" s="6"/>
      <c r="G12" s="6"/>
      <c r="H12" s="6"/>
      <c r="I12" s="6"/>
      <c r="J12" s="6"/>
      <c r="K12" s="6"/>
      <c r="L12" s="6"/>
      <c r="M12" s="95" t="s">
        <v>927</v>
      </c>
      <c r="N12" s="33" t="s">
        <v>954</v>
      </c>
      <c r="O12" s="8" t="s">
        <v>746</v>
      </c>
      <c r="P12" s="8" t="s">
        <v>518</v>
      </c>
      <c r="Q12" s="8"/>
      <c r="R12" s="8"/>
    </row>
    <row r="13" spans="1:18" x14ac:dyDescent="0.5">
      <c r="M13" s="97"/>
    </row>
    <row r="14" spans="1:18" x14ac:dyDescent="0.5">
      <c r="M14" s="97"/>
    </row>
    <row r="15" spans="1:18" x14ac:dyDescent="0.5">
      <c r="M15" s="97"/>
    </row>
    <row r="16" spans="1:18" x14ac:dyDescent="0.5">
      <c r="M16" s="97"/>
    </row>
    <row r="17" spans="13:13" x14ac:dyDescent="0.5">
      <c r="M17" s="97"/>
    </row>
  </sheetData>
  <mergeCells count="1">
    <mergeCell ref="R3:R1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7028A-939D-47BE-88AB-2D6CB959EB94}">
  <sheetPr codeName="Sheet11"/>
  <dimension ref="A1:Q10"/>
  <sheetViews>
    <sheetView zoomScale="74" workbookViewId="0"/>
  </sheetViews>
  <sheetFormatPr defaultRowHeight="14.35" x14ac:dyDescent="0.5"/>
  <cols>
    <col min="2" max="2" width="88.05859375" customWidth="1"/>
    <col min="3" max="3" width="10.703125" customWidth="1"/>
    <col min="4" max="4" width="19.64453125" customWidth="1"/>
    <col min="5" max="7" width="18.46875" customWidth="1"/>
    <col min="8" max="9" width="21.52734375" customWidth="1"/>
    <col min="10" max="11" width="43.64453125" customWidth="1"/>
    <col min="12" max="12" width="39.05859375" customWidth="1"/>
    <col min="13" max="13" width="35.64453125" customWidth="1"/>
    <col min="15" max="15" width="18.87890625" customWidth="1"/>
    <col min="16" max="16" width="41.05859375" customWidth="1"/>
    <col min="17" max="17" width="22.64453125" customWidth="1"/>
  </cols>
  <sheetData>
    <row r="1" spans="1:17" x14ac:dyDescent="0.5">
      <c r="A1" s="7" t="s">
        <v>0</v>
      </c>
      <c r="B1" s="7" t="s">
        <v>1</v>
      </c>
      <c r="C1" s="7" t="s">
        <v>8</v>
      </c>
      <c r="D1" s="24" t="s">
        <v>463</v>
      </c>
      <c r="E1" s="9" t="s">
        <v>110</v>
      </c>
      <c r="F1" s="9" t="s">
        <v>2</v>
      </c>
      <c r="G1" s="9" t="s">
        <v>3</v>
      </c>
      <c r="H1" s="9" t="s">
        <v>615</v>
      </c>
      <c r="I1" s="9" t="s">
        <v>616</v>
      </c>
      <c r="J1" s="9" t="s">
        <v>617</v>
      </c>
      <c r="K1" s="9" t="s">
        <v>647</v>
      </c>
      <c r="L1" s="9" t="s">
        <v>1436</v>
      </c>
      <c r="M1" s="81" t="s">
        <v>68</v>
      </c>
      <c r="N1" s="82" t="s">
        <v>745</v>
      </c>
      <c r="O1" s="83" t="s">
        <v>767</v>
      </c>
      <c r="P1" s="84" t="s">
        <v>770</v>
      </c>
      <c r="Q1" s="85" t="s">
        <v>768</v>
      </c>
    </row>
    <row r="2" spans="1:17" x14ac:dyDescent="0.5">
      <c r="A2" s="2" t="s">
        <v>4</v>
      </c>
      <c r="B2" s="22" t="s">
        <v>618</v>
      </c>
      <c r="C2" s="6"/>
      <c r="D2" s="4" t="s">
        <v>468</v>
      </c>
      <c r="E2" s="4" t="s">
        <v>360</v>
      </c>
      <c r="F2" s="4" t="s">
        <v>361</v>
      </c>
      <c r="G2" s="11" t="s">
        <v>362</v>
      </c>
      <c r="H2" s="11" t="s">
        <v>619</v>
      </c>
      <c r="I2" s="11" t="s">
        <v>620</v>
      </c>
      <c r="J2" s="6"/>
      <c r="K2" s="6"/>
      <c r="L2" s="37" t="s">
        <v>917</v>
      </c>
      <c r="M2" s="33" t="s">
        <v>618</v>
      </c>
      <c r="N2" s="8" t="s">
        <v>792</v>
      </c>
      <c r="O2" s="8" t="s">
        <v>518</v>
      </c>
      <c r="P2" s="8"/>
      <c r="Q2" s="8"/>
    </row>
    <row r="3" spans="1:17" x14ac:dyDescent="0.5">
      <c r="A3" s="2" t="s">
        <v>4</v>
      </c>
      <c r="B3" s="22" t="s">
        <v>621</v>
      </c>
      <c r="C3" s="6"/>
      <c r="D3" s="4" t="s">
        <v>468</v>
      </c>
      <c r="E3" s="4" t="s">
        <v>360</v>
      </c>
      <c r="F3" s="4" t="s">
        <v>361</v>
      </c>
      <c r="G3" s="11" t="s">
        <v>362</v>
      </c>
      <c r="H3" s="11" t="s">
        <v>619</v>
      </c>
      <c r="I3" s="11" t="s">
        <v>620</v>
      </c>
      <c r="J3" s="6"/>
      <c r="K3" s="6"/>
      <c r="L3" s="37" t="s">
        <v>918</v>
      </c>
      <c r="M3" s="33" t="s">
        <v>621</v>
      </c>
      <c r="N3" s="8" t="s">
        <v>792</v>
      </c>
      <c r="O3" s="8" t="s">
        <v>518</v>
      </c>
      <c r="P3" s="8"/>
      <c r="Q3" s="8"/>
    </row>
    <row r="4" spans="1:17" ht="22.5" customHeight="1" x14ac:dyDescent="0.5">
      <c r="A4" s="2" t="s">
        <v>4</v>
      </c>
      <c r="B4" s="22" t="s">
        <v>622</v>
      </c>
      <c r="C4" s="4" t="s">
        <v>216</v>
      </c>
      <c r="D4" s="4" t="s">
        <v>468</v>
      </c>
      <c r="E4" s="4" t="s">
        <v>360</v>
      </c>
      <c r="F4" s="4" t="s">
        <v>361</v>
      </c>
      <c r="G4" s="11" t="s">
        <v>362</v>
      </c>
      <c r="H4" s="11" t="s">
        <v>619</v>
      </c>
      <c r="I4" s="11" t="s">
        <v>620</v>
      </c>
      <c r="J4" s="6"/>
      <c r="K4" s="6"/>
      <c r="L4" s="37" t="s">
        <v>919</v>
      </c>
      <c r="M4" s="33" t="s">
        <v>622</v>
      </c>
      <c r="N4" s="8" t="s">
        <v>792</v>
      </c>
      <c r="O4" s="8" t="s">
        <v>518</v>
      </c>
      <c r="P4" s="8"/>
      <c r="Q4" s="8"/>
    </row>
    <row r="5" spans="1:17" ht="21" customHeight="1" x14ac:dyDescent="0.5">
      <c r="A5" s="2" t="s">
        <v>4</v>
      </c>
      <c r="B5" s="22" t="s">
        <v>623</v>
      </c>
      <c r="C5" s="6"/>
      <c r="D5" s="4" t="s">
        <v>468</v>
      </c>
      <c r="E5" s="4" t="s">
        <v>360</v>
      </c>
      <c r="F5" s="4" t="s">
        <v>361</v>
      </c>
      <c r="G5" s="11" t="s">
        <v>362</v>
      </c>
      <c r="H5" s="11" t="s">
        <v>619</v>
      </c>
      <c r="I5" s="11" t="s">
        <v>620</v>
      </c>
      <c r="J5" s="11" t="s">
        <v>624</v>
      </c>
      <c r="K5" s="6"/>
      <c r="L5" s="37" t="s">
        <v>920</v>
      </c>
      <c r="M5" s="33" t="s">
        <v>623</v>
      </c>
      <c r="N5" s="8" t="s">
        <v>792</v>
      </c>
      <c r="O5" s="8" t="s">
        <v>518</v>
      </c>
      <c r="P5" s="8"/>
      <c r="Q5" s="8"/>
    </row>
    <row r="6" spans="1:17" ht="26.5" customHeight="1" x14ac:dyDescent="0.5">
      <c r="A6" s="2" t="s">
        <v>4</v>
      </c>
      <c r="B6" s="75" t="s">
        <v>638</v>
      </c>
      <c r="C6" s="6"/>
      <c r="D6" s="4" t="s">
        <v>468</v>
      </c>
      <c r="E6" s="4" t="s">
        <v>360</v>
      </c>
      <c r="F6" s="4" t="s">
        <v>361</v>
      </c>
      <c r="G6" s="11" t="s">
        <v>362</v>
      </c>
      <c r="H6" s="11" t="s">
        <v>619</v>
      </c>
      <c r="I6" s="11" t="s">
        <v>620</v>
      </c>
      <c r="J6" s="11" t="s">
        <v>639</v>
      </c>
      <c r="K6" s="6"/>
      <c r="L6" s="37" t="s">
        <v>921</v>
      </c>
      <c r="M6" s="75" t="s">
        <v>638</v>
      </c>
      <c r="N6" s="8" t="s">
        <v>792</v>
      </c>
      <c r="O6" s="75" t="s">
        <v>793</v>
      </c>
      <c r="P6" s="75" t="s">
        <v>926</v>
      </c>
      <c r="Q6" s="8"/>
    </row>
    <row r="7" spans="1:17" ht="29" customHeight="1" x14ac:dyDescent="0.5">
      <c r="A7" s="2" t="s">
        <v>4</v>
      </c>
      <c r="B7" s="75" t="s">
        <v>642</v>
      </c>
      <c r="C7" s="6"/>
      <c r="D7" s="4" t="s">
        <v>468</v>
      </c>
      <c r="E7" s="4" t="s">
        <v>360</v>
      </c>
      <c r="F7" s="4" t="s">
        <v>361</v>
      </c>
      <c r="G7" s="11" t="s">
        <v>362</v>
      </c>
      <c r="H7" s="11" t="s">
        <v>619</v>
      </c>
      <c r="I7" s="11" t="s">
        <v>620</v>
      </c>
      <c r="J7" s="11" t="s">
        <v>643</v>
      </c>
      <c r="K7" s="6"/>
      <c r="L7" s="37" t="s">
        <v>922</v>
      </c>
      <c r="M7" s="75" t="s">
        <v>642</v>
      </c>
      <c r="N7" s="8" t="s">
        <v>792</v>
      </c>
      <c r="O7" s="75" t="s">
        <v>793</v>
      </c>
      <c r="P7" s="75" t="s">
        <v>926</v>
      </c>
      <c r="Q7" s="8"/>
    </row>
    <row r="8" spans="1:17" ht="22.7" x14ac:dyDescent="0.5">
      <c r="A8" s="2" t="s">
        <v>1592</v>
      </c>
      <c r="B8" s="22" t="s">
        <v>644</v>
      </c>
      <c r="C8" s="6"/>
      <c r="D8" s="4" t="s">
        <v>468</v>
      </c>
      <c r="E8" s="4" t="s">
        <v>360</v>
      </c>
      <c r="F8" s="4" t="s">
        <v>361</v>
      </c>
      <c r="G8" s="11" t="s">
        <v>362</v>
      </c>
      <c r="H8" s="11" t="s">
        <v>619</v>
      </c>
      <c r="I8" s="11" t="s">
        <v>620</v>
      </c>
      <c r="J8" s="6"/>
      <c r="K8" s="11" t="s">
        <v>645</v>
      </c>
      <c r="L8" s="37" t="s">
        <v>925</v>
      </c>
      <c r="M8" s="33" t="s">
        <v>644</v>
      </c>
      <c r="N8" s="8" t="s">
        <v>792</v>
      </c>
      <c r="O8" s="8" t="s">
        <v>518</v>
      </c>
      <c r="P8" s="8"/>
      <c r="Q8" s="8"/>
    </row>
    <row r="9" spans="1:17" ht="34" x14ac:dyDescent="0.5">
      <c r="A9" s="2" t="s">
        <v>1592</v>
      </c>
      <c r="B9" s="22" t="s">
        <v>646</v>
      </c>
      <c r="C9" s="6"/>
      <c r="D9" s="4" t="s">
        <v>468</v>
      </c>
      <c r="E9" s="4" t="s">
        <v>360</v>
      </c>
      <c r="F9" s="4" t="s">
        <v>361</v>
      </c>
      <c r="G9" s="11" t="s">
        <v>362</v>
      </c>
      <c r="H9" s="11" t="s">
        <v>619</v>
      </c>
      <c r="I9" s="11" t="s">
        <v>620</v>
      </c>
      <c r="J9" s="6"/>
      <c r="K9" s="11" t="s">
        <v>645</v>
      </c>
      <c r="L9" s="8" t="s">
        <v>924</v>
      </c>
      <c r="M9" s="33" t="s">
        <v>646</v>
      </c>
      <c r="N9" s="8" t="s">
        <v>792</v>
      </c>
      <c r="O9" s="8" t="s">
        <v>518</v>
      </c>
      <c r="P9" s="8"/>
      <c r="Q9" s="8"/>
    </row>
    <row r="10" spans="1:17" x14ac:dyDescent="0.5">
      <c r="A10" s="2" t="s">
        <v>4</v>
      </c>
      <c r="B10" s="22" t="s">
        <v>682</v>
      </c>
      <c r="C10" s="6"/>
      <c r="D10" s="4" t="s">
        <v>468</v>
      </c>
      <c r="E10" s="4" t="s">
        <v>360</v>
      </c>
      <c r="F10" s="4" t="s">
        <v>361</v>
      </c>
      <c r="G10" s="11" t="s">
        <v>362</v>
      </c>
      <c r="H10" s="11" t="s">
        <v>619</v>
      </c>
      <c r="I10" s="11" t="s">
        <v>620</v>
      </c>
      <c r="J10" s="6"/>
      <c r="K10" s="6"/>
      <c r="L10" s="8" t="s">
        <v>923</v>
      </c>
      <c r="M10" s="33" t="s">
        <v>682</v>
      </c>
      <c r="N10" s="8" t="s">
        <v>792</v>
      </c>
      <c r="O10" s="8" t="s">
        <v>518</v>
      </c>
      <c r="P10" s="8"/>
      <c r="Q10" s="8"/>
    </row>
  </sheetData>
  <hyperlinks>
    <hyperlink ref="G2" r:id="rId1" display="Eric@123" xr:uid="{6060222E-C38A-465A-BA08-2AAEAB867770}"/>
    <hyperlink ref="G3" r:id="rId2" display="Eric@123" xr:uid="{D8B62B84-9101-49C3-9745-EE3F82DA76A4}"/>
    <hyperlink ref="G4" r:id="rId3" display="Eric@123" xr:uid="{6507B3C9-44E9-499F-8430-98C380917CA4}"/>
    <hyperlink ref="G5" r:id="rId4" display="Eric@123" xr:uid="{724FDD3C-9A05-4E3A-8BE6-8686E3912E30}"/>
    <hyperlink ref="G6" r:id="rId5" display="Eric@123" xr:uid="{6BF53EFF-FDDE-4238-B551-7892283A5CF7}"/>
    <hyperlink ref="G7" r:id="rId6" display="Eric@123" xr:uid="{62F0B96C-229F-45E8-9C61-C04222FF8886}"/>
    <hyperlink ref="G8" r:id="rId7" display="Eric@123" xr:uid="{55CB3912-F5BF-453D-89C9-B2F761646275}"/>
    <hyperlink ref="G9" r:id="rId8" display="Eric@123" xr:uid="{CD502AB9-9B94-4D2D-B9C0-F1EA0380D7F4}"/>
    <hyperlink ref="G10" r:id="rId9" display="Eric@123" xr:uid="{A109147B-C75E-42C6-A585-48D984AF5FCC}"/>
  </hyperlinks>
  <pageMargins left="0.7" right="0.7" top="0.75" bottom="0.75" header="0.3" footer="0.3"/>
  <pageSetup paperSize="9" orientation="portrait" r:id="rId10"/>
  <legacyDrawing r:id="rId1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F268C-736C-45F0-B68A-324043AB09CB}">
  <sheetPr codeName="Sheet13"/>
  <dimension ref="A1:J3"/>
  <sheetViews>
    <sheetView workbookViewId="0">
      <selection activeCell="D15" sqref="D15"/>
    </sheetView>
  </sheetViews>
  <sheetFormatPr defaultRowHeight="14.35" x14ac:dyDescent="0.5"/>
  <cols>
    <col min="2" max="2" width="16.87890625" customWidth="1"/>
    <col min="3" max="3" width="13.46875" customWidth="1"/>
    <col min="4" max="4" width="35.64453125" customWidth="1"/>
    <col min="5" max="5" width="33.3515625" customWidth="1"/>
    <col min="6" max="6" width="24.46875" customWidth="1"/>
    <col min="8" max="8" width="17.3515625" customWidth="1"/>
    <col min="9" max="9" width="44.46875" customWidth="1"/>
    <col min="10" max="10" width="24.17578125" customWidth="1"/>
  </cols>
  <sheetData>
    <row r="1" spans="1:10" x14ac:dyDescent="0.5">
      <c r="A1" s="9" t="s">
        <v>0</v>
      </c>
      <c r="B1" s="9" t="s">
        <v>1</v>
      </c>
      <c r="C1" s="9" t="s">
        <v>101</v>
      </c>
      <c r="D1" s="9" t="s">
        <v>605</v>
      </c>
      <c r="E1" s="81" t="s">
        <v>1436</v>
      </c>
      <c r="F1" s="81" t="s">
        <v>68</v>
      </c>
      <c r="G1" s="82" t="s">
        <v>745</v>
      </c>
      <c r="H1" s="83" t="s">
        <v>767</v>
      </c>
      <c r="I1" s="84" t="s">
        <v>770</v>
      </c>
      <c r="J1" s="85" t="s">
        <v>768</v>
      </c>
    </row>
    <row r="2" spans="1:10" ht="22" customHeight="1" x14ac:dyDescent="0.5">
      <c r="A2" s="2" t="s">
        <v>4</v>
      </c>
      <c r="B2" s="3" t="s">
        <v>520</v>
      </c>
      <c r="C2" s="4" t="s">
        <v>521</v>
      </c>
      <c r="D2" s="4" t="s">
        <v>606</v>
      </c>
      <c r="E2" s="8" t="s">
        <v>913</v>
      </c>
      <c r="F2" s="37" t="s">
        <v>522</v>
      </c>
      <c r="G2" s="8" t="s">
        <v>746</v>
      </c>
      <c r="H2" s="34" t="s">
        <v>915</v>
      </c>
      <c r="I2" s="15" t="s">
        <v>916</v>
      </c>
      <c r="J2" s="8"/>
    </row>
    <row r="3" spans="1:10" x14ac:dyDescent="0.5">
      <c r="A3" s="2" t="s">
        <v>4</v>
      </c>
      <c r="B3" s="3" t="s">
        <v>523</v>
      </c>
      <c r="C3" s="4" t="s">
        <v>521</v>
      </c>
      <c r="D3" s="6"/>
      <c r="E3" s="8" t="s">
        <v>914</v>
      </c>
      <c r="F3" s="37" t="s">
        <v>524</v>
      </c>
      <c r="G3" s="8" t="s">
        <v>746</v>
      </c>
      <c r="H3" s="34" t="s">
        <v>915</v>
      </c>
      <c r="I3" s="8"/>
      <c r="J3" s="8"/>
    </row>
  </sheetData>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6BC88-00B0-42C4-B493-EDE6519BA0AD}">
  <sheetPr codeName="Sheet15"/>
  <dimension ref="A1:AA14"/>
  <sheetViews>
    <sheetView zoomScale="71" workbookViewId="0">
      <selection activeCell="E15" sqref="E15"/>
    </sheetView>
  </sheetViews>
  <sheetFormatPr defaultRowHeight="14.35" x14ac:dyDescent="0.5"/>
  <cols>
    <col min="2" max="2" width="26.703125" bestFit="1" customWidth="1"/>
    <col min="3" max="3" width="26.703125" customWidth="1"/>
    <col min="4" max="4" width="10.05859375" customWidth="1"/>
    <col min="5" max="5" width="17.87890625" customWidth="1"/>
    <col min="6" max="6" width="11.64453125" customWidth="1"/>
    <col min="7" max="7" width="20.8203125" customWidth="1"/>
    <col min="9" max="9" width="8.17578125" customWidth="1"/>
    <col min="10" max="10" width="7.17578125" customWidth="1"/>
    <col min="11" max="11" width="8.29296875" customWidth="1"/>
    <col min="12" max="12" width="15.05859375" customWidth="1"/>
    <col min="13" max="13" width="12.52734375" customWidth="1"/>
    <col min="14" max="14" width="10.52734375" customWidth="1"/>
    <col min="15" max="15" width="11.52734375" customWidth="1"/>
    <col min="16" max="16" width="16.703125" customWidth="1"/>
    <col min="17" max="17" width="11.52734375" customWidth="1"/>
    <col min="18" max="18" width="13.703125" customWidth="1"/>
    <col min="19" max="19" width="15.29296875" customWidth="1"/>
    <col min="20" max="20" width="17" customWidth="1"/>
    <col min="21" max="21" width="27.3515625" customWidth="1"/>
    <col min="22" max="22" width="90.8203125" customWidth="1"/>
    <col min="23" max="23" width="14.29296875" customWidth="1"/>
    <col min="24" max="24" width="20.46875" customWidth="1"/>
    <col min="25" max="25" width="19.17578125" customWidth="1"/>
    <col min="26" max="26" width="24.3515625" customWidth="1"/>
  </cols>
  <sheetData>
    <row r="1" spans="1:27" x14ac:dyDescent="0.5">
      <c r="A1" s="81" t="s">
        <v>0</v>
      </c>
      <c r="B1" s="81" t="s">
        <v>1</v>
      </c>
      <c r="C1" s="81" t="s">
        <v>8</v>
      </c>
      <c r="D1" s="81" t="s">
        <v>493</v>
      </c>
      <c r="E1" s="81" t="s">
        <v>501</v>
      </c>
      <c r="F1" s="81" t="s">
        <v>502</v>
      </c>
      <c r="G1" s="82" t="s">
        <v>503</v>
      </c>
      <c r="H1" s="81" t="s">
        <v>504</v>
      </c>
      <c r="I1" s="81" t="s">
        <v>505</v>
      </c>
      <c r="J1" s="81" t="s">
        <v>506</v>
      </c>
      <c r="K1" s="81" t="s">
        <v>507</v>
      </c>
      <c r="L1" s="81" t="s">
        <v>508</v>
      </c>
      <c r="M1" s="9" t="s">
        <v>155</v>
      </c>
      <c r="N1" s="9" t="s">
        <v>2</v>
      </c>
      <c r="O1" s="9" t="s">
        <v>3</v>
      </c>
      <c r="P1" s="24" t="s">
        <v>598</v>
      </c>
      <c r="Q1" s="24" t="s">
        <v>359</v>
      </c>
      <c r="R1" s="24" t="s">
        <v>599</v>
      </c>
      <c r="S1" s="24" t="s">
        <v>600</v>
      </c>
      <c r="T1" s="24" t="s">
        <v>366</v>
      </c>
      <c r="U1" s="81" t="s">
        <v>1436</v>
      </c>
      <c r="V1" s="81" t="s">
        <v>68</v>
      </c>
      <c r="W1" s="82" t="s">
        <v>745</v>
      </c>
      <c r="X1" s="83" t="s">
        <v>767</v>
      </c>
      <c r="Y1" s="84" t="s">
        <v>770</v>
      </c>
      <c r="Z1" s="85" t="s">
        <v>768</v>
      </c>
      <c r="AA1" s="76"/>
    </row>
    <row r="2" spans="1:27" x14ac:dyDescent="0.5">
      <c r="A2" s="77" t="s">
        <v>4</v>
      </c>
      <c r="B2" s="78" t="s">
        <v>509</v>
      </c>
      <c r="C2" s="80"/>
      <c r="D2" s="79" t="s">
        <v>510</v>
      </c>
      <c r="E2" s="79" t="s">
        <v>1602</v>
      </c>
      <c r="F2" s="80"/>
      <c r="G2" s="80"/>
      <c r="H2" s="80"/>
      <c r="I2" s="80"/>
      <c r="J2" s="80"/>
      <c r="K2" s="80"/>
      <c r="L2" s="80"/>
      <c r="M2" s="80"/>
      <c r="N2" s="80"/>
      <c r="O2" s="80"/>
      <c r="P2" s="80"/>
      <c r="Q2" s="80"/>
      <c r="R2" s="80"/>
      <c r="S2" s="80"/>
      <c r="T2" s="80"/>
      <c r="U2" s="87" t="s">
        <v>1367</v>
      </c>
      <c r="V2" s="53" t="s">
        <v>902</v>
      </c>
      <c r="W2" s="8" t="s">
        <v>746</v>
      </c>
      <c r="X2" s="8" t="s">
        <v>518</v>
      </c>
      <c r="Y2" s="8"/>
      <c r="Z2" s="8"/>
    </row>
    <row r="3" spans="1:27" x14ac:dyDescent="0.5">
      <c r="A3" s="77" t="s">
        <v>4</v>
      </c>
      <c r="B3" s="78" t="s">
        <v>511</v>
      </c>
      <c r="C3" s="80"/>
      <c r="D3" s="80"/>
      <c r="E3" s="80"/>
      <c r="F3" s="79" t="s">
        <v>510</v>
      </c>
      <c r="G3" s="79" t="s">
        <v>512</v>
      </c>
      <c r="H3" s="79" t="s">
        <v>513</v>
      </c>
      <c r="I3" s="79" t="s">
        <v>377</v>
      </c>
      <c r="J3" s="79" t="s">
        <v>514</v>
      </c>
      <c r="K3" s="79" t="s">
        <v>515</v>
      </c>
      <c r="L3" s="79" t="s">
        <v>516</v>
      </c>
      <c r="M3" s="80"/>
      <c r="N3" s="80"/>
      <c r="O3" s="80"/>
      <c r="P3" s="80"/>
      <c r="Q3" s="80"/>
      <c r="R3" s="80"/>
      <c r="S3" s="80"/>
      <c r="T3" s="80"/>
      <c r="U3" s="87" t="s">
        <v>906</v>
      </c>
      <c r="V3" s="53" t="s">
        <v>903</v>
      </c>
      <c r="W3" s="8" t="s">
        <v>746</v>
      </c>
      <c r="X3" s="8" t="s">
        <v>518</v>
      </c>
      <c r="Y3" s="8"/>
      <c r="Z3" s="8"/>
    </row>
    <row r="4" spans="1:27" ht="22.7" x14ac:dyDescent="0.5">
      <c r="A4" s="77" t="s">
        <v>4</v>
      </c>
      <c r="B4" s="78" t="s">
        <v>854</v>
      </c>
      <c r="C4" s="80"/>
      <c r="D4" s="80"/>
      <c r="E4" s="80"/>
      <c r="F4" s="80"/>
      <c r="G4" s="80"/>
      <c r="H4" s="80"/>
      <c r="I4" s="80"/>
      <c r="J4" s="80"/>
      <c r="K4" s="80"/>
      <c r="L4" s="80"/>
      <c r="M4" s="80"/>
      <c r="N4" s="80"/>
      <c r="O4" s="80"/>
      <c r="P4" s="80"/>
      <c r="Q4" s="80"/>
      <c r="R4" s="80"/>
      <c r="S4" s="80"/>
      <c r="T4" s="80"/>
      <c r="U4" s="87" t="s">
        <v>1190</v>
      </c>
      <c r="V4" s="51" t="s">
        <v>898</v>
      </c>
      <c r="W4" s="8" t="s">
        <v>792</v>
      </c>
      <c r="X4" s="8" t="s">
        <v>518</v>
      </c>
      <c r="Y4" s="8"/>
      <c r="Z4" s="58" t="s">
        <v>841</v>
      </c>
    </row>
    <row r="5" spans="1:27" x14ac:dyDescent="0.5">
      <c r="A5" s="77" t="s">
        <v>4</v>
      </c>
      <c r="B5" s="78" t="s">
        <v>855</v>
      </c>
      <c r="C5" s="80"/>
      <c r="D5" s="80"/>
      <c r="E5" s="80"/>
      <c r="F5" s="80"/>
      <c r="G5" s="80"/>
      <c r="H5" s="80"/>
      <c r="I5" s="80"/>
      <c r="J5" s="80"/>
      <c r="K5" s="80"/>
      <c r="L5" s="80"/>
      <c r="M5" s="80"/>
      <c r="N5" s="80"/>
      <c r="O5" s="80"/>
      <c r="P5" s="80"/>
      <c r="Q5" s="80"/>
      <c r="R5" s="80"/>
      <c r="S5" s="80"/>
      <c r="T5" s="80"/>
      <c r="U5" s="87" t="s">
        <v>1368</v>
      </c>
      <c r="V5" s="53" t="s">
        <v>899</v>
      </c>
      <c r="W5" s="8" t="s">
        <v>746</v>
      </c>
      <c r="X5" s="8" t="s">
        <v>518</v>
      </c>
      <c r="Y5" s="8"/>
      <c r="Z5" s="58" t="s">
        <v>907</v>
      </c>
    </row>
    <row r="6" spans="1:27" x14ac:dyDescent="0.5">
      <c r="A6" s="77" t="s">
        <v>4</v>
      </c>
      <c r="B6" s="78" t="s">
        <v>856</v>
      </c>
      <c r="C6" s="80"/>
      <c r="D6" s="80"/>
      <c r="E6" s="80"/>
      <c r="F6" s="80"/>
      <c r="G6" s="80"/>
      <c r="H6" s="80"/>
      <c r="I6" s="80"/>
      <c r="J6" s="80"/>
      <c r="K6" s="80"/>
      <c r="L6" s="80"/>
      <c r="M6" s="80"/>
      <c r="N6" s="80"/>
      <c r="O6" s="80"/>
      <c r="P6" s="80"/>
      <c r="Q6" s="80"/>
      <c r="R6" s="80"/>
      <c r="S6" s="80"/>
      <c r="T6" s="80"/>
      <c r="U6" s="87" t="s">
        <v>1369</v>
      </c>
      <c r="V6" s="53" t="s">
        <v>900</v>
      </c>
      <c r="W6" s="8" t="s">
        <v>746</v>
      </c>
      <c r="X6" s="8" t="s">
        <v>518</v>
      </c>
      <c r="Y6" s="8"/>
      <c r="Z6" s="93" t="s">
        <v>841</v>
      </c>
    </row>
    <row r="7" spans="1:27" x14ac:dyDescent="0.5">
      <c r="A7" s="77" t="s">
        <v>4</v>
      </c>
      <c r="B7" s="78" t="s">
        <v>857</v>
      </c>
      <c r="C7" s="80"/>
      <c r="D7" s="80"/>
      <c r="E7" s="80"/>
      <c r="F7" s="80"/>
      <c r="G7" s="80"/>
      <c r="H7" s="80"/>
      <c r="I7" s="80"/>
      <c r="J7" s="80"/>
      <c r="K7" s="80"/>
      <c r="L7" s="80"/>
      <c r="M7" s="80"/>
      <c r="N7" s="80"/>
      <c r="O7" s="80"/>
      <c r="P7" s="80"/>
      <c r="Q7" s="80"/>
      <c r="R7" s="80"/>
      <c r="S7" s="80"/>
      <c r="T7" s="80"/>
      <c r="U7" s="87" t="s">
        <v>1370</v>
      </c>
      <c r="V7" s="53" t="s">
        <v>901</v>
      </c>
      <c r="W7" s="8" t="s">
        <v>746</v>
      </c>
      <c r="X7" s="8" t="s">
        <v>518</v>
      </c>
      <c r="Y7" s="8"/>
      <c r="Z7" s="93" t="s">
        <v>841</v>
      </c>
    </row>
    <row r="8" spans="1:27" x14ac:dyDescent="0.5">
      <c r="A8" s="77" t="s">
        <v>4</v>
      </c>
      <c r="B8" s="78" t="s">
        <v>601</v>
      </c>
      <c r="C8" s="80"/>
      <c r="D8" s="80"/>
      <c r="E8" s="80"/>
      <c r="F8" s="80"/>
      <c r="G8" s="80"/>
      <c r="H8" s="80"/>
      <c r="I8" s="80"/>
      <c r="J8" s="80"/>
      <c r="K8" s="80"/>
      <c r="L8" s="80"/>
      <c r="M8" s="4" t="s">
        <v>360</v>
      </c>
      <c r="N8" s="4" t="s">
        <v>361</v>
      </c>
      <c r="O8" s="4" t="s">
        <v>362</v>
      </c>
      <c r="P8" s="4" t="s">
        <v>602</v>
      </c>
      <c r="Q8" s="4" t="s">
        <v>603</v>
      </c>
      <c r="R8" s="4" t="s">
        <v>604</v>
      </c>
      <c r="S8" s="4" t="s">
        <v>362</v>
      </c>
      <c r="T8" s="4" t="s">
        <v>362</v>
      </c>
      <c r="U8" s="87" t="s">
        <v>1190</v>
      </c>
      <c r="V8" s="87" t="s">
        <v>898</v>
      </c>
      <c r="W8" s="87" t="s">
        <v>792</v>
      </c>
      <c r="X8" s="163" t="s">
        <v>915</v>
      </c>
      <c r="Z8" s="58" t="s">
        <v>1133</v>
      </c>
    </row>
    <row r="9" spans="1:27" ht="32.5" customHeight="1" x14ac:dyDescent="0.5">
      <c r="A9" s="77" t="s">
        <v>4</v>
      </c>
      <c r="B9" s="78" t="s">
        <v>858</v>
      </c>
      <c r="C9" s="79" t="s">
        <v>216</v>
      </c>
      <c r="D9" s="80"/>
      <c r="E9" s="80"/>
      <c r="F9" s="80"/>
      <c r="G9" s="80"/>
      <c r="H9" s="80"/>
      <c r="I9" s="80"/>
      <c r="J9" s="80"/>
      <c r="K9" s="80"/>
      <c r="L9" s="80"/>
      <c r="M9" s="80"/>
      <c r="N9" s="80"/>
      <c r="O9" s="80"/>
      <c r="P9" s="80"/>
      <c r="Q9" s="80"/>
      <c r="R9" s="80"/>
      <c r="S9" s="80"/>
      <c r="T9" s="80"/>
      <c r="U9" s="87" t="s">
        <v>1342</v>
      </c>
      <c r="V9" s="53" t="s">
        <v>893</v>
      </c>
      <c r="W9" s="8" t="s">
        <v>792</v>
      </c>
      <c r="X9" s="8" t="s">
        <v>518</v>
      </c>
      <c r="Y9" s="71" t="s">
        <v>838</v>
      </c>
      <c r="Z9" s="90" t="s">
        <v>908</v>
      </c>
    </row>
    <row r="10" spans="1:27" ht="17.5" customHeight="1" x14ac:dyDescent="0.5">
      <c r="A10" s="77" t="s">
        <v>4</v>
      </c>
      <c r="B10" s="78" t="s">
        <v>859</v>
      </c>
      <c r="C10" s="79" t="s">
        <v>216</v>
      </c>
      <c r="D10" s="80"/>
      <c r="E10" s="80"/>
      <c r="F10" s="80"/>
      <c r="G10" s="80"/>
      <c r="H10" s="80"/>
      <c r="I10" s="80"/>
      <c r="J10" s="80"/>
      <c r="K10" s="80"/>
      <c r="L10" s="80"/>
      <c r="M10" s="80"/>
      <c r="N10" s="80"/>
      <c r="O10" s="80"/>
      <c r="P10" s="80"/>
      <c r="Q10" s="80"/>
      <c r="R10" s="80"/>
      <c r="S10" s="80"/>
      <c r="T10" s="80"/>
      <c r="U10" s="87" t="s">
        <v>1343</v>
      </c>
      <c r="V10" s="53" t="s">
        <v>894</v>
      </c>
      <c r="W10" s="8" t="s">
        <v>792</v>
      </c>
      <c r="X10" s="8" t="s">
        <v>518</v>
      </c>
      <c r="Y10" s="71" t="s">
        <v>838</v>
      </c>
      <c r="Z10" s="91" t="s">
        <v>909</v>
      </c>
    </row>
    <row r="11" spans="1:27" ht="34" customHeight="1" x14ac:dyDescent="0.5">
      <c r="A11" s="77" t="s">
        <v>4</v>
      </c>
      <c r="B11" s="78" t="s">
        <v>860</v>
      </c>
      <c r="C11" s="79" t="s">
        <v>216</v>
      </c>
      <c r="D11" s="80"/>
      <c r="E11" s="80"/>
      <c r="F11" s="80"/>
      <c r="G11" s="80"/>
      <c r="H11" s="80"/>
      <c r="I11" s="80"/>
      <c r="J11" s="80"/>
      <c r="K11" s="80"/>
      <c r="L11" s="80"/>
      <c r="M11" s="80"/>
      <c r="N11" s="80"/>
      <c r="O11" s="80"/>
      <c r="P11" s="80"/>
      <c r="Q11" s="80"/>
      <c r="R11" s="80"/>
      <c r="S11" s="80"/>
      <c r="T11" s="80"/>
      <c r="U11" s="87" t="s">
        <v>1344</v>
      </c>
      <c r="V11" s="53" t="s">
        <v>895</v>
      </c>
      <c r="W11" s="8" t="s">
        <v>792</v>
      </c>
      <c r="X11" s="8" t="s">
        <v>518</v>
      </c>
      <c r="Y11" s="71" t="s">
        <v>838</v>
      </c>
      <c r="Z11" s="90" t="s">
        <v>910</v>
      </c>
    </row>
    <row r="12" spans="1:27" ht="24" customHeight="1" x14ac:dyDescent="0.5">
      <c r="A12" s="77" t="s">
        <v>4</v>
      </c>
      <c r="B12" s="78" t="s">
        <v>861</v>
      </c>
      <c r="C12" s="79" t="s">
        <v>216</v>
      </c>
      <c r="D12" s="80"/>
      <c r="E12" s="80"/>
      <c r="F12" s="80"/>
      <c r="G12" s="80"/>
      <c r="H12" s="80"/>
      <c r="I12" s="80"/>
      <c r="J12" s="80"/>
      <c r="K12" s="80"/>
      <c r="L12" s="80"/>
      <c r="M12" s="80"/>
      <c r="N12" s="80"/>
      <c r="O12" s="80"/>
      <c r="P12" s="80"/>
      <c r="Q12" s="80"/>
      <c r="R12" s="80"/>
      <c r="S12" s="80"/>
      <c r="T12" s="80"/>
      <c r="U12" s="87" t="s">
        <v>1345</v>
      </c>
      <c r="V12" s="53" t="s">
        <v>896</v>
      </c>
      <c r="W12" s="8" t="s">
        <v>792</v>
      </c>
      <c r="X12" s="8" t="s">
        <v>518</v>
      </c>
      <c r="Y12" s="71" t="s">
        <v>838</v>
      </c>
      <c r="Z12" s="90" t="s">
        <v>911</v>
      </c>
    </row>
    <row r="13" spans="1:27" ht="35" x14ac:dyDescent="0.5">
      <c r="A13" s="77" t="s">
        <v>4</v>
      </c>
      <c r="B13" s="75" t="s">
        <v>862</v>
      </c>
      <c r="C13" s="79" t="s">
        <v>216</v>
      </c>
      <c r="D13" s="80"/>
      <c r="E13" s="80"/>
      <c r="F13" s="80"/>
      <c r="G13" s="80"/>
      <c r="H13" s="80"/>
      <c r="I13" s="80"/>
      <c r="J13" s="80"/>
      <c r="K13" s="80"/>
      <c r="L13" s="80"/>
      <c r="M13" s="80"/>
      <c r="N13" s="80"/>
      <c r="O13" s="80"/>
      <c r="P13" s="80"/>
      <c r="Q13" s="80"/>
      <c r="R13" s="80"/>
      <c r="S13" s="80"/>
      <c r="T13" s="80"/>
      <c r="U13" s="87" t="s">
        <v>1346</v>
      </c>
      <c r="V13" s="88" t="s">
        <v>897</v>
      </c>
      <c r="W13" s="8" t="s">
        <v>792</v>
      </c>
      <c r="X13" s="75" t="s">
        <v>793</v>
      </c>
      <c r="Y13" s="71" t="s">
        <v>838</v>
      </c>
      <c r="Z13" s="92" t="s">
        <v>912</v>
      </c>
    </row>
    <row r="14" spans="1:27" x14ac:dyDescent="0.5">
      <c r="A14" s="77" t="s">
        <v>4</v>
      </c>
      <c r="B14" s="78" t="s">
        <v>904</v>
      </c>
      <c r="C14" s="79" t="s">
        <v>216</v>
      </c>
      <c r="D14" s="80"/>
      <c r="E14" s="80"/>
      <c r="F14" s="80"/>
      <c r="G14" s="80"/>
      <c r="H14" s="80"/>
      <c r="I14" s="80"/>
      <c r="J14" s="80"/>
      <c r="K14" s="80"/>
      <c r="L14" s="80"/>
      <c r="M14" s="80"/>
      <c r="N14" s="80"/>
      <c r="O14" s="80"/>
      <c r="P14" s="80"/>
      <c r="Q14" s="80"/>
      <c r="R14" s="80"/>
      <c r="S14" s="80"/>
      <c r="T14" s="80"/>
      <c r="U14" s="87" t="s">
        <v>1381</v>
      </c>
      <c r="V14" s="53" t="s">
        <v>905</v>
      </c>
      <c r="W14" s="8" t="s">
        <v>746</v>
      </c>
      <c r="X14" s="8" t="s">
        <v>518</v>
      </c>
      <c r="Y14" s="71" t="s">
        <v>838</v>
      </c>
      <c r="Z14" s="89" t="s">
        <v>907</v>
      </c>
    </row>
  </sheetData>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8CF76-0F40-4A72-B969-C5547EADF848}">
  <sheetPr codeName="Sheet16"/>
  <dimension ref="A1:S22"/>
  <sheetViews>
    <sheetView zoomScale="68" zoomScaleNormal="93" workbookViewId="0">
      <selection activeCell="O25" sqref="O25"/>
    </sheetView>
  </sheetViews>
  <sheetFormatPr defaultRowHeight="14.35" x14ac:dyDescent="0.5"/>
  <cols>
    <col min="1" max="1" width="15.52734375" customWidth="1"/>
    <col min="2" max="2" width="81" customWidth="1"/>
    <col min="3" max="3" width="14.8203125" customWidth="1"/>
    <col min="4" max="4" width="13.8203125" customWidth="1"/>
    <col min="5" max="5" width="15.8203125" bestFit="1" customWidth="1"/>
    <col min="6" max="6" width="20.29296875" customWidth="1"/>
    <col min="7" max="7" width="11.8203125" customWidth="1"/>
    <col min="8" max="8" width="15.52734375" customWidth="1"/>
    <col min="9" max="9" width="18.52734375" customWidth="1"/>
    <col min="11" max="11" width="11" customWidth="1"/>
    <col min="12" max="12" width="20.17578125" customWidth="1"/>
    <col min="13" max="13" width="18.64453125" customWidth="1"/>
    <col min="14" max="14" width="58.87890625" customWidth="1"/>
    <col min="15" max="15" width="73.703125" customWidth="1"/>
    <col min="16" max="16" width="13.64453125" customWidth="1"/>
    <col min="17" max="17" width="18.87890625" customWidth="1"/>
    <col min="18" max="18" width="21.8203125" customWidth="1"/>
    <col min="19" max="19" width="75.17578125" customWidth="1"/>
    <col min="20" max="20" width="20.46875" customWidth="1"/>
  </cols>
  <sheetData>
    <row r="1" spans="1:19" x14ac:dyDescent="0.5">
      <c r="A1" s="9" t="s">
        <v>0</v>
      </c>
      <c r="B1" s="9" t="s">
        <v>1</v>
      </c>
      <c r="C1" s="9" t="s">
        <v>8</v>
      </c>
      <c r="D1" s="9" t="s">
        <v>17</v>
      </c>
      <c r="E1" s="9" t="s">
        <v>12</v>
      </c>
      <c r="F1" s="9" t="s">
        <v>13</v>
      </c>
      <c r="G1" s="9" t="s">
        <v>15</v>
      </c>
      <c r="H1" s="9" t="s">
        <v>16</v>
      </c>
      <c r="I1" s="9" t="s">
        <v>20</v>
      </c>
      <c r="J1" s="9" t="s">
        <v>26</v>
      </c>
      <c r="K1" s="9" t="s">
        <v>578</v>
      </c>
      <c r="L1" s="9" t="s">
        <v>579</v>
      </c>
      <c r="M1" s="9" t="s">
        <v>580</v>
      </c>
      <c r="N1" s="9" t="s">
        <v>1436</v>
      </c>
      <c r="O1" s="9" t="s">
        <v>68</v>
      </c>
      <c r="P1" s="9" t="s">
        <v>745</v>
      </c>
      <c r="Q1" s="39" t="s">
        <v>767</v>
      </c>
      <c r="R1" s="72" t="s">
        <v>770</v>
      </c>
      <c r="S1" s="40" t="s">
        <v>768</v>
      </c>
    </row>
    <row r="2" spans="1:19" x14ac:dyDescent="0.5">
      <c r="A2" s="2" t="s">
        <v>4</v>
      </c>
      <c r="B2" s="3" t="s">
        <v>10</v>
      </c>
      <c r="C2" s="4" t="s">
        <v>216</v>
      </c>
      <c r="D2" s="6"/>
      <c r="E2" s="6"/>
      <c r="F2" s="6"/>
      <c r="G2" s="6"/>
      <c r="H2" s="6"/>
      <c r="I2" s="6"/>
      <c r="J2" s="6"/>
      <c r="K2" s="6"/>
      <c r="L2" s="6"/>
      <c r="M2" s="6"/>
      <c r="N2" s="6" t="s">
        <v>1347</v>
      </c>
      <c r="O2" s="33" t="s">
        <v>868</v>
      </c>
      <c r="P2" s="8" t="s">
        <v>746</v>
      </c>
      <c r="Q2" s="8" t="s">
        <v>518</v>
      </c>
      <c r="R2" s="8"/>
      <c r="S2" s="194" t="s">
        <v>853</v>
      </c>
    </row>
    <row r="3" spans="1:19" x14ac:dyDescent="0.5">
      <c r="A3" s="2" t="s">
        <v>4</v>
      </c>
      <c r="B3" s="3" t="s">
        <v>11</v>
      </c>
      <c r="C3" s="4" t="s">
        <v>304</v>
      </c>
      <c r="D3" s="4" t="s">
        <v>18</v>
      </c>
      <c r="E3" s="4" t="s">
        <v>731</v>
      </c>
      <c r="F3" s="4" t="s">
        <v>14</v>
      </c>
      <c r="G3" s="6"/>
      <c r="H3" s="6"/>
      <c r="I3" s="4" t="s">
        <v>14</v>
      </c>
      <c r="J3" s="6"/>
      <c r="K3" s="6"/>
      <c r="L3" s="6"/>
      <c r="M3" s="6"/>
      <c r="N3" s="6" t="s">
        <v>1348</v>
      </c>
      <c r="O3" s="33" t="s">
        <v>869</v>
      </c>
      <c r="P3" s="8" t="s">
        <v>746</v>
      </c>
      <c r="Q3" s="8" t="s">
        <v>518</v>
      </c>
      <c r="R3" s="8"/>
      <c r="S3" s="195"/>
    </row>
    <row r="4" spans="1:19" x14ac:dyDescent="0.5">
      <c r="A4" s="2" t="s">
        <v>4</v>
      </c>
      <c r="B4" s="3" t="s">
        <v>19</v>
      </c>
      <c r="C4" s="4" t="s">
        <v>305</v>
      </c>
      <c r="D4" s="4" t="s">
        <v>18</v>
      </c>
      <c r="E4" s="4" t="s">
        <v>732</v>
      </c>
      <c r="F4" s="4" t="s">
        <v>14</v>
      </c>
      <c r="G4" s="6"/>
      <c r="H4" s="6"/>
      <c r="I4" s="4" t="s">
        <v>14</v>
      </c>
      <c r="J4" s="6"/>
      <c r="K4" s="6"/>
      <c r="L4" s="6"/>
      <c r="M4" s="6"/>
      <c r="N4" s="6" t="s">
        <v>1349</v>
      </c>
      <c r="O4" s="33" t="s">
        <v>870</v>
      </c>
      <c r="P4" s="8" t="s">
        <v>746</v>
      </c>
      <c r="Q4" s="8" t="s">
        <v>518</v>
      </c>
      <c r="R4" s="8"/>
      <c r="S4" s="195"/>
    </row>
    <row r="5" spans="1:19" x14ac:dyDescent="0.5">
      <c r="A5" s="2" t="s">
        <v>4</v>
      </c>
      <c r="B5" s="3" t="s">
        <v>21</v>
      </c>
      <c r="C5" s="4" t="s">
        <v>216</v>
      </c>
      <c r="D5" s="6"/>
      <c r="E5" s="6"/>
      <c r="F5" s="6"/>
      <c r="G5" s="6"/>
      <c r="H5" s="6"/>
      <c r="I5" s="6"/>
      <c r="J5" s="6"/>
      <c r="K5" s="6"/>
      <c r="L5" s="6"/>
      <c r="M5" s="6"/>
      <c r="N5" s="6" t="s">
        <v>1350</v>
      </c>
      <c r="O5" s="33" t="s">
        <v>871</v>
      </c>
      <c r="P5" s="8" t="s">
        <v>746</v>
      </c>
      <c r="Q5" s="8" t="s">
        <v>518</v>
      </c>
      <c r="R5" s="8"/>
      <c r="S5" s="195"/>
    </row>
    <row r="6" spans="1:19" x14ac:dyDescent="0.5">
      <c r="A6" s="2" t="s">
        <v>4</v>
      </c>
      <c r="B6" s="3" t="s">
        <v>22</v>
      </c>
      <c r="C6" s="4" t="s">
        <v>216</v>
      </c>
      <c r="D6" s="6"/>
      <c r="E6" s="6"/>
      <c r="F6" s="6"/>
      <c r="G6" s="6"/>
      <c r="H6" s="6"/>
      <c r="I6" s="6"/>
      <c r="J6" s="6"/>
      <c r="K6" s="6"/>
      <c r="L6" s="6"/>
      <c r="M6" s="6"/>
      <c r="N6" s="6" t="s">
        <v>1351</v>
      </c>
      <c r="O6" s="33" t="s">
        <v>872</v>
      </c>
      <c r="P6" s="8" t="s">
        <v>746</v>
      </c>
      <c r="Q6" s="8" t="s">
        <v>518</v>
      </c>
      <c r="R6" s="8"/>
      <c r="S6" s="195"/>
    </row>
    <row r="7" spans="1:19" x14ac:dyDescent="0.5">
      <c r="A7" s="2" t="s">
        <v>4</v>
      </c>
      <c r="B7" s="3" t="s">
        <v>23</v>
      </c>
      <c r="C7" s="4" t="s">
        <v>216</v>
      </c>
      <c r="D7" s="6"/>
      <c r="E7" s="6"/>
      <c r="F7" s="6"/>
      <c r="G7" s="6"/>
      <c r="H7" s="6"/>
      <c r="I7" s="6"/>
      <c r="J7" s="6"/>
      <c r="K7" s="6"/>
      <c r="L7" s="6"/>
      <c r="M7" s="6"/>
      <c r="N7" s="6" t="s">
        <v>1352</v>
      </c>
      <c r="O7" s="33" t="s">
        <v>873</v>
      </c>
      <c r="P7" s="8" t="s">
        <v>746</v>
      </c>
      <c r="Q7" s="8" t="s">
        <v>518</v>
      </c>
      <c r="R7" s="8"/>
      <c r="S7" s="195"/>
    </row>
    <row r="8" spans="1:19" x14ac:dyDescent="0.5">
      <c r="A8" s="2" t="s">
        <v>4</v>
      </c>
      <c r="B8" s="3" t="s">
        <v>24</v>
      </c>
      <c r="C8" s="4" t="s">
        <v>306</v>
      </c>
      <c r="D8" s="4" t="s">
        <v>18</v>
      </c>
      <c r="E8" s="4" t="s">
        <v>733</v>
      </c>
      <c r="F8" s="4" t="s">
        <v>14</v>
      </c>
      <c r="G8" s="6"/>
      <c r="H8" s="6"/>
      <c r="I8" s="4" t="s">
        <v>14</v>
      </c>
      <c r="J8" s="6"/>
      <c r="K8" s="6"/>
      <c r="L8" s="6"/>
      <c r="M8" s="6"/>
      <c r="N8" s="6" t="s">
        <v>1353</v>
      </c>
      <c r="O8" s="33" t="s">
        <v>874</v>
      </c>
      <c r="P8" s="8" t="s">
        <v>746</v>
      </c>
      <c r="Q8" s="8" t="s">
        <v>518</v>
      </c>
      <c r="R8" s="8"/>
      <c r="S8" s="195"/>
    </row>
    <row r="9" spans="1:19" x14ac:dyDescent="0.5">
      <c r="A9" s="2" t="s">
        <v>4</v>
      </c>
      <c r="B9" s="3" t="s">
        <v>25</v>
      </c>
      <c r="C9" s="4" t="s">
        <v>307</v>
      </c>
      <c r="D9" s="4" t="s">
        <v>18</v>
      </c>
      <c r="E9" s="4" t="s">
        <v>734</v>
      </c>
      <c r="F9" s="4" t="s">
        <v>14</v>
      </c>
      <c r="G9" s="6"/>
      <c r="H9" s="6"/>
      <c r="I9" s="4" t="s">
        <v>14</v>
      </c>
      <c r="J9" s="6"/>
      <c r="K9" s="6"/>
      <c r="L9" s="6"/>
      <c r="M9" s="6"/>
      <c r="N9" s="6" t="s">
        <v>1354</v>
      </c>
      <c r="O9" s="33" t="s">
        <v>875</v>
      </c>
      <c r="P9" s="8" t="s">
        <v>746</v>
      </c>
      <c r="Q9" s="8" t="s">
        <v>518</v>
      </c>
      <c r="R9" s="8"/>
      <c r="S9" s="196"/>
    </row>
    <row r="10" spans="1:19" ht="14.5" customHeight="1" x14ac:dyDescent="0.5">
      <c r="A10" s="2" t="s">
        <v>4</v>
      </c>
      <c r="B10" s="86" t="s">
        <v>27</v>
      </c>
      <c r="C10" s="4" t="s">
        <v>308</v>
      </c>
      <c r="D10" s="6"/>
      <c r="E10" s="6"/>
      <c r="F10" s="6"/>
      <c r="G10" s="6"/>
      <c r="H10" s="6"/>
      <c r="I10" s="6"/>
      <c r="J10" s="6"/>
      <c r="K10" s="6"/>
      <c r="L10" s="6"/>
      <c r="M10" s="6"/>
      <c r="N10" s="6" t="s">
        <v>1355</v>
      </c>
      <c r="O10" s="86" t="s">
        <v>876</v>
      </c>
      <c r="P10" s="8" t="s">
        <v>746</v>
      </c>
      <c r="Q10" s="86" t="s">
        <v>793</v>
      </c>
      <c r="R10" s="8"/>
      <c r="S10" s="8" t="s">
        <v>852</v>
      </c>
    </row>
    <row r="11" spans="1:19" x14ac:dyDescent="0.5">
      <c r="A11" s="2" t="s">
        <v>4</v>
      </c>
      <c r="B11" s="3" t="s">
        <v>28</v>
      </c>
      <c r="C11" s="4" t="s">
        <v>216</v>
      </c>
      <c r="D11" s="6"/>
      <c r="E11" s="6"/>
      <c r="F11" s="6"/>
      <c r="G11" s="6"/>
      <c r="H11" s="6"/>
      <c r="I11" s="6"/>
      <c r="J11" s="6"/>
      <c r="K11" s="6"/>
      <c r="L11" s="6"/>
      <c r="M11" s="6"/>
      <c r="N11" s="6" t="s">
        <v>1356</v>
      </c>
      <c r="O11" s="33" t="s">
        <v>877</v>
      </c>
      <c r="P11" s="8" t="s">
        <v>746</v>
      </c>
      <c r="Q11" s="8" t="s">
        <v>518</v>
      </c>
      <c r="R11" s="8"/>
      <c r="S11" s="8"/>
    </row>
    <row r="12" spans="1:19" x14ac:dyDescent="0.5">
      <c r="A12" s="2" t="s">
        <v>4</v>
      </c>
      <c r="B12" s="3" t="s">
        <v>581</v>
      </c>
      <c r="C12" s="4" t="s">
        <v>216</v>
      </c>
      <c r="D12" s="6"/>
      <c r="E12" s="6"/>
      <c r="F12" s="6"/>
      <c r="G12" s="6"/>
      <c r="H12" s="6"/>
      <c r="I12" s="6"/>
      <c r="J12" s="4" t="s">
        <v>1442</v>
      </c>
      <c r="K12" s="4" t="s">
        <v>730</v>
      </c>
      <c r="L12" s="4" t="s">
        <v>582</v>
      </c>
      <c r="M12" s="6"/>
      <c r="N12" s="6" t="s">
        <v>1357</v>
      </c>
      <c r="O12" s="33" t="s">
        <v>581</v>
      </c>
      <c r="P12" s="8" t="s">
        <v>746</v>
      </c>
      <c r="Q12" s="8" t="s">
        <v>518</v>
      </c>
      <c r="R12" s="8"/>
      <c r="S12" s="8"/>
    </row>
    <row r="13" spans="1:19" x14ac:dyDescent="0.5">
      <c r="A13" s="2" t="s">
        <v>4</v>
      </c>
      <c r="B13" s="3" t="s">
        <v>583</v>
      </c>
      <c r="C13" s="4" t="s">
        <v>216</v>
      </c>
      <c r="D13" s="6"/>
      <c r="E13" s="6"/>
      <c r="F13" s="6"/>
      <c r="G13" s="6"/>
      <c r="H13" s="6"/>
      <c r="I13" s="6"/>
      <c r="J13" s="4" t="s">
        <v>1442</v>
      </c>
      <c r="K13" s="4" t="s">
        <v>730</v>
      </c>
      <c r="L13" s="4" t="s">
        <v>582</v>
      </c>
      <c r="M13" s="6"/>
      <c r="N13" s="6" t="s">
        <v>1358</v>
      </c>
      <c r="O13" s="33" t="s">
        <v>583</v>
      </c>
      <c r="P13" s="8" t="s">
        <v>746</v>
      </c>
      <c r="Q13" s="8" t="s">
        <v>518</v>
      </c>
      <c r="R13" s="8" t="s">
        <v>851</v>
      </c>
      <c r="S13" s="8"/>
    </row>
    <row r="14" spans="1:19" x14ac:dyDescent="0.5">
      <c r="A14" s="2" t="s">
        <v>4</v>
      </c>
      <c r="B14" s="3" t="s">
        <v>584</v>
      </c>
      <c r="C14" s="4" t="s">
        <v>216</v>
      </c>
      <c r="D14" s="6"/>
      <c r="E14" s="6"/>
      <c r="F14" s="6"/>
      <c r="G14" s="6"/>
      <c r="H14" s="6"/>
      <c r="I14" s="6"/>
      <c r="J14" s="6"/>
      <c r="K14" s="6"/>
      <c r="L14" s="6"/>
      <c r="M14" s="4" t="s">
        <v>585</v>
      </c>
      <c r="N14" s="6" t="s">
        <v>1359</v>
      </c>
      <c r="O14" s="33" t="s">
        <v>584</v>
      </c>
      <c r="P14" s="8" t="s">
        <v>746</v>
      </c>
      <c r="Q14" s="8" t="s">
        <v>518</v>
      </c>
      <c r="R14" s="8"/>
      <c r="S14" s="8"/>
    </row>
    <row r="15" spans="1:19" x14ac:dyDescent="0.5">
      <c r="A15" s="2" t="s">
        <v>4</v>
      </c>
      <c r="B15" s="3" t="s">
        <v>844</v>
      </c>
      <c r="C15" s="6"/>
      <c r="D15" s="6"/>
      <c r="E15" s="6"/>
      <c r="F15" s="6"/>
      <c r="G15" s="6"/>
      <c r="H15" s="6"/>
      <c r="I15" s="6"/>
      <c r="J15" s="6"/>
      <c r="K15" s="6"/>
      <c r="L15" s="6"/>
      <c r="M15" s="6"/>
      <c r="N15" s="6" t="s">
        <v>1360</v>
      </c>
      <c r="O15" s="33" t="s">
        <v>878</v>
      </c>
      <c r="P15" s="8" t="s">
        <v>746</v>
      </c>
      <c r="Q15" s="8" t="s">
        <v>518</v>
      </c>
      <c r="R15" s="8"/>
      <c r="S15" s="194" t="s">
        <v>853</v>
      </c>
    </row>
    <row r="16" spans="1:19" x14ac:dyDescent="0.5">
      <c r="A16" s="2" t="s">
        <v>4</v>
      </c>
      <c r="B16" s="3" t="s">
        <v>845</v>
      </c>
      <c r="C16" s="6"/>
      <c r="D16" s="6"/>
      <c r="E16" s="6"/>
      <c r="F16" s="6"/>
      <c r="G16" s="6"/>
      <c r="H16" s="6"/>
      <c r="I16" s="6"/>
      <c r="J16" s="6"/>
      <c r="K16" s="6"/>
      <c r="L16" s="6"/>
      <c r="M16" s="6"/>
      <c r="N16" s="6" t="s">
        <v>1361</v>
      </c>
      <c r="O16" s="33" t="s">
        <v>879</v>
      </c>
      <c r="P16" s="8" t="s">
        <v>746</v>
      </c>
      <c r="Q16" s="8" t="s">
        <v>518</v>
      </c>
      <c r="R16" s="8"/>
      <c r="S16" s="195"/>
    </row>
    <row r="17" spans="1:19" x14ac:dyDescent="0.5">
      <c r="A17" s="2" t="s">
        <v>4</v>
      </c>
      <c r="B17" s="3" t="s">
        <v>846</v>
      </c>
      <c r="C17" s="6"/>
      <c r="D17" s="6"/>
      <c r="E17" s="6"/>
      <c r="F17" s="6"/>
      <c r="G17" s="6"/>
      <c r="H17" s="6"/>
      <c r="I17" s="6"/>
      <c r="J17" s="6"/>
      <c r="K17" s="6"/>
      <c r="L17" s="6"/>
      <c r="M17" s="6"/>
      <c r="N17" s="6" t="s">
        <v>1362</v>
      </c>
      <c r="O17" s="33" t="s">
        <v>880</v>
      </c>
      <c r="P17" s="8" t="s">
        <v>746</v>
      </c>
      <c r="Q17" s="8" t="s">
        <v>518</v>
      </c>
      <c r="R17" s="8"/>
      <c r="S17" s="195"/>
    </row>
    <row r="18" spans="1:19" x14ac:dyDescent="0.5">
      <c r="A18" s="2" t="s">
        <v>4</v>
      </c>
      <c r="B18" s="3" t="s">
        <v>847</v>
      </c>
      <c r="C18" s="6"/>
      <c r="D18" s="6"/>
      <c r="E18" s="6"/>
      <c r="F18" s="6"/>
      <c r="G18" s="6"/>
      <c r="H18" s="6"/>
      <c r="I18" s="6"/>
      <c r="J18" s="6"/>
      <c r="K18" s="6"/>
      <c r="L18" s="6"/>
      <c r="M18" s="6"/>
      <c r="N18" s="6" t="s">
        <v>1363</v>
      </c>
      <c r="O18" s="33" t="s">
        <v>881</v>
      </c>
      <c r="P18" s="8" t="s">
        <v>746</v>
      </c>
      <c r="Q18" s="8" t="s">
        <v>518</v>
      </c>
      <c r="R18" s="8"/>
      <c r="S18" s="195"/>
    </row>
    <row r="19" spans="1:19" x14ac:dyDescent="0.5">
      <c r="A19" s="2" t="s">
        <v>4</v>
      </c>
      <c r="B19" s="3" t="s">
        <v>848</v>
      </c>
      <c r="C19" s="6"/>
      <c r="D19" s="6"/>
      <c r="E19" s="6"/>
      <c r="F19" s="6"/>
      <c r="G19" s="6"/>
      <c r="H19" s="6"/>
      <c r="I19" s="6"/>
      <c r="J19" s="6"/>
      <c r="K19" s="6"/>
      <c r="L19" s="6"/>
      <c r="M19" s="6"/>
      <c r="N19" s="6" t="s">
        <v>1364</v>
      </c>
      <c r="O19" s="33" t="s">
        <v>882</v>
      </c>
      <c r="P19" s="8" t="s">
        <v>746</v>
      </c>
      <c r="Q19" s="8" t="s">
        <v>518</v>
      </c>
      <c r="R19" s="8"/>
      <c r="S19" s="195"/>
    </row>
    <row r="20" spans="1:19" x14ac:dyDescent="0.5">
      <c r="A20" s="2" t="s">
        <v>4</v>
      </c>
      <c r="B20" s="3" t="s">
        <v>28</v>
      </c>
      <c r="C20" s="6"/>
      <c r="D20" s="6"/>
      <c r="E20" s="6"/>
      <c r="F20" s="6"/>
      <c r="G20" s="6"/>
      <c r="H20" s="6"/>
      <c r="I20" s="6"/>
      <c r="J20" s="6"/>
      <c r="K20" s="6"/>
      <c r="L20" s="6"/>
      <c r="M20" s="6"/>
      <c r="N20" s="6" t="s">
        <v>1356</v>
      </c>
      <c r="O20" s="33" t="s">
        <v>877</v>
      </c>
      <c r="P20" s="8" t="s">
        <v>746</v>
      </c>
      <c r="Q20" s="8" t="s">
        <v>518</v>
      </c>
      <c r="R20" s="8"/>
      <c r="S20" s="195"/>
    </row>
    <row r="21" spans="1:19" x14ac:dyDescent="0.5">
      <c r="A21" s="2" t="s">
        <v>4</v>
      </c>
      <c r="B21" s="3" t="s">
        <v>849</v>
      </c>
      <c r="C21" s="6"/>
      <c r="D21" s="6"/>
      <c r="E21" s="6"/>
      <c r="F21" s="6"/>
      <c r="G21" s="6"/>
      <c r="H21" s="6"/>
      <c r="I21" s="6"/>
      <c r="J21" s="6"/>
      <c r="K21" s="6"/>
      <c r="L21" s="6"/>
      <c r="M21" s="6"/>
      <c r="N21" s="6" t="s">
        <v>1365</v>
      </c>
      <c r="O21" s="33" t="s">
        <v>883</v>
      </c>
      <c r="P21" s="8" t="s">
        <v>746</v>
      </c>
      <c r="Q21" s="8" t="s">
        <v>518</v>
      </c>
      <c r="R21" s="8"/>
      <c r="S21" s="195"/>
    </row>
    <row r="22" spans="1:19" x14ac:dyDescent="0.5">
      <c r="A22" s="2" t="s">
        <v>4</v>
      </c>
      <c r="B22" s="3" t="s">
        <v>850</v>
      </c>
      <c r="C22" s="6"/>
      <c r="D22" s="6"/>
      <c r="E22" s="6"/>
      <c r="F22" s="6"/>
      <c r="G22" s="6"/>
      <c r="H22" s="6"/>
      <c r="I22" s="6"/>
      <c r="J22" s="6"/>
      <c r="K22" s="6"/>
      <c r="L22" s="6"/>
      <c r="M22" s="6"/>
      <c r="N22" s="6" t="s">
        <v>1366</v>
      </c>
      <c r="O22" s="33" t="s">
        <v>884</v>
      </c>
      <c r="P22" s="8" t="s">
        <v>746</v>
      </c>
      <c r="Q22" s="8" t="s">
        <v>518</v>
      </c>
      <c r="R22" s="8"/>
      <c r="S22" s="196"/>
    </row>
  </sheetData>
  <mergeCells count="2">
    <mergeCell ref="S15:S22"/>
    <mergeCell ref="S2:S9"/>
  </mergeCells>
  <phoneticPr fontId="21"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13A5-0957-4C4E-AB17-8F74C16C3E89}">
  <sheetPr codeName="Sheet14"/>
  <dimension ref="A1:X18"/>
  <sheetViews>
    <sheetView zoomScale="64" zoomScaleNormal="64" workbookViewId="0">
      <selection activeCell="C6" sqref="C6"/>
    </sheetView>
  </sheetViews>
  <sheetFormatPr defaultRowHeight="14.35" x14ac:dyDescent="0.5"/>
  <cols>
    <col min="1" max="1" width="16.3515625" customWidth="1"/>
    <col min="2" max="2" width="40.46875" customWidth="1"/>
    <col min="3" max="3" width="17" customWidth="1"/>
    <col min="4" max="4" width="26.8203125" customWidth="1"/>
    <col min="5" max="5" width="14.17578125" customWidth="1"/>
    <col min="6" max="6" width="16.46875" customWidth="1"/>
    <col min="7" max="7" width="14.3515625" customWidth="1"/>
    <col min="8" max="8" width="13.52734375" customWidth="1"/>
    <col min="9" max="9" width="24" customWidth="1"/>
    <col min="10" max="10" width="27.87890625" customWidth="1"/>
    <col min="11" max="11" width="14.46875" customWidth="1"/>
    <col min="12" max="12" width="12.3515625" customWidth="1"/>
    <col min="13" max="13" width="13.3515625" customWidth="1"/>
    <col min="14" max="14" width="16.87890625" customWidth="1"/>
    <col min="15" max="15" width="11.703125" customWidth="1"/>
    <col min="16" max="16" width="15.87890625" customWidth="1"/>
    <col min="17" max="17" width="16.8203125" customWidth="1"/>
    <col min="18" max="18" width="18.52734375" customWidth="1"/>
    <col min="19" max="19" width="25.52734375" customWidth="1"/>
    <col min="20" max="20" width="35.8203125" customWidth="1"/>
    <col min="22" max="23" width="25.3515625" customWidth="1"/>
    <col min="24" max="24" width="27.703125" customWidth="1"/>
  </cols>
  <sheetData>
    <row r="1" spans="1:24" x14ac:dyDescent="0.5">
      <c r="A1" s="9" t="s">
        <v>0</v>
      </c>
      <c r="B1" s="9" t="s">
        <v>1</v>
      </c>
      <c r="C1" s="9" t="s">
        <v>8</v>
      </c>
      <c r="D1" s="9" t="s">
        <v>493</v>
      </c>
      <c r="E1" s="9" t="s">
        <v>68</v>
      </c>
      <c r="F1" s="9" t="s">
        <v>563</v>
      </c>
      <c r="G1" s="9" t="s">
        <v>494</v>
      </c>
      <c r="H1" s="9" t="s">
        <v>212</v>
      </c>
      <c r="I1" s="9" t="s">
        <v>234</v>
      </c>
      <c r="J1" s="9" t="s">
        <v>235</v>
      </c>
      <c r="K1" s="9" t="s">
        <v>155</v>
      </c>
      <c r="L1" s="9" t="s">
        <v>2</v>
      </c>
      <c r="M1" s="9" t="s">
        <v>3</v>
      </c>
      <c r="N1" s="24" t="s">
        <v>598</v>
      </c>
      <c r="O1" s="24" t="s">
        <v>359</v>
      </c>
      <c r="P1" s="24" t="s">
        <v>599</v>
      </c>
      <c r="Q1" s="24" t="s">
        <v>600</v>
      </c>
      <c r="R1" s="24" t="s">
        <v>366</v>
      </c>
      <c r="S1" s="36" t="s">
        <v>1436</v>
      </c>
      <c r="T1" s="9" t="s">
        <v>68</v>
      </c>
      <c r="U1" s="9" t="s">
        <v>745</v>
      </c>
      <c r="V1" s="39" t="s">
        <v>767</v>
      </c>
      <c r="W1" s="72" t="s">
        <v>770</v>
      </c>
      <c r="X1" s="40" t="s">
        <v>768</v>
      </c>
    </row>
    <row r="2" spans="1:24" ht="24" x14ac:dyDescent="0.5">
      <c r="A2" s="2" t="s">
        <v>4</v>
      </c>
      <c r="B2" s="3" t="s">
        <v>236</v>
      </c>
      <c r="C2" s="4" t="s">
        <v>216</v>
      </c>
      <c r="D2" s="6"/>
      <c r="E2" s="6"/>
      <c r="F2" s="6"/>
      <c r="G2" s="6"/>
      <c r="H2" s="6"/>
      <c r="I2" s="4" t="s">
        <v>237</v>
      </c>
      <c r="J2" s="4" t="s">
        <v>238</v>
      </c>
      <c r="K2" s="6"/>
      <c r="L2" s="6"/>
      <c r="M2" s="6"/>
      <c r="N2" s="6"/>
      <c r="O2" s="6"/>
      <c r="P2" s="6"/>
      <c r="Q2" s="6"/>
      <c r="R2" s="6"/>
      <c r="S2" s="8" t="s">
        <v>826</v>
      </c>
      <c r="T2" s="45" t="s">
        <v>865</v>
      </c>
      <c r="U2" s="8" t="s">
        <v>746</v>
      </c>
      <c r="V2" s="34" t="s">
        <v>518</v>
      </c>
      <c r="W2" s="34"/>
      <c r="X2" s="8"/>
    </row>
    <row r="3" spans="1:24" ht="24" x14ac:dyDescent="0.5">
      <c r="A3" s="2" t="s">
        <v>4</v>
      </c>
      <c r="B3" s="3" t="s">
        <v>239</v>
      </c>
      <c r="C3" s="6"/>
      <c r="D3" s="6"/>
      <c r="E3" s="6"/>
      <c r="F3" s="6"/>
      <c r="G3" s="6"/>
      <c r="H3" s="6"/>
      <c r="I3" s="4" t="s">
        <v>237</v>
      </c>
      <c r="J3" s="6"/>
      <c r="K3" s="6"/>
      <c r="L3" s="6"/>
      <c r="M3" s="6"/>
      <c r="N3" s="6"/>
      <c r="O3" s="6"/>
      <c r="P3" s="6"/>
      <c r="Q3" s="6"/>
      <c r="R3" s="6"/>
      <c r="S3" s="8" t="s">
        <v>827</v>
      </c>
      <c r="T3" s="45" t="s">
        <v>866</v>
      </c>
      <c r="U3" s="8" t="s">
        <v>746</v>
      </c>
      <c r="V3" s="34" t="s">
        <v>518</v>
      </c>
      <c r="W3" s="34"/>
      <c r="X3" s="8"/>
    </row>
    <row r="4" spans="1:24" ht="24" x14ac:dyDescent="0.5">
      <c r="A4" s="2" t="s">
        <v>4</v>
      </c>
      <c r="B4" s="3" t="s">
        <v>495</v>
      </c>
      <c r="C4" s="6"/>
      <c r="D4" s="4" t="s">
        <v>496</v>
      </c>
      <c r="E4" s="6"/>
      <c r="F4" s="6"/>
      <c r="G4" s="6"/>
      <c r="H4" s="6"/>
      <c r="I4" s="4" t="s">
        <v>497</v>
      </c>
      <c r="J4" s="6"/>
      <c r="K4" s="6"/>
      <c r="L4" s="6"/>
      <c r="M4" s="6"/>
      <c r="N4" s="6"/>
      <c r="O4" s="6"/>
      <c r="P4" s="6"/>
      <c r="Q4" s="6"/>
      <c r="R4" s="6"/>
      <c r="S4" s="8" t="s">
        <v>828</v>
      </c>
      <c r="T4" s="45" t="s">
        <v>867</v>
      </c>
      <c r="U4" s="8" t="s">
        <v>746</v>
      </c>
      <c r="V4" s="34" t="s">
        <v>518</v>
      </c>
      <c r="W4" s="34"/>
      <c r="X4" s="8"/>
    </row>
    <row r="5" spans="1:24" ht="22.5" customHeight="1" x14ac:dyDescent="0.5">
      <c r="A5" s="2" t="s">
        <v>4</v>
      </c>
      <c r="B5" s="3" t="s">
        <v>498</v>
      </c>
      <c r="C5" s="6"/>
      <c r="D5" s="4" t="s">
        <v>496</v>
      </c>
      <c r="E5" s="4" t="s">
        <v>499</v>
      </c>
      <c r="F5" s="4" t="s">
        <v>569</v>
      </c>
      <c r="G5" s="6"/>
      <c r="H5" s="4" t="s">
        <v>226</v>
      </c>
      <c r="I5" s="6"/>
      <c r="J5" s="6"/>
      <c r="K5" s="6"/>
      <c r="L5" s="6"/>
      <c r="M5" s="6"/>
      <c r="N5" s="6"/>
      <c r="O5" s="6"/>
      <c r="P5" s="6"/>
      <c r="Q5" s="6"/>
      <c r="R5" s="6"/>
      <c r="S5" s="8" t="s">
        <v>829</v>
      </c>
      <c r="T5" s="45" t="s">
        <v>864</v>
      </c>
      <c r="U5" s="8" t="s">
        <v>746</v>
      </c>
      <c r="V5" s="34" t="s">
        <v>518</v>
      </c>
      <c r="W5" s="34"/>
      <c r="X5" s="8"/>
    </row>
    <row r="6" spans="1:24" ht="26.5" customHeight="1" x14ac:dyDescent="0.5">
      <c r="A6" s="2" t="s">
        <v>4</v>
      </c>
      <c r="B6" s="3" t="s">
        <v>500</v>
      </c>
      <c r="C6" s="4" t="s">
        <v>1610</v>
      </c>
      <c r="D6" s="4" t="s">
        <v>496</v>
      </c>
      <c r="E6" s="6"/>
      <c r="F6" s="6"/>
      <c r="G6" s="4" t="s">
        <v>499</v>
      </c>
      <c r="H6" s="6"/>
      <c r="I6" s="4" t="s">
        <v>497</v>
      </c>
      <c r="J6" s="6"/>
      <c r="K6" s="6"/>
      <c r="L6" s="6"/>
      <c r="M6" s="6"/>
      <c r="N6" s="6"/>
      <c r="O6" s="6"/>
      <c r="P6" s="6"/>
      <c r="Q6" s="6"/>
      <c r="R6" s="6"/>
      <c r="S6" s="8" t="s">
        <v>830</v>
      </c>
      <c r="T6" s="45" t="s">
        <v>863</v>
      </c>
      <c r="U6" s="8" t="s">
        <v>746</v>
      </c>
      <c r="V6" s="34" t="s">
        <v>518</v>
      </c>
      <c r="W6" s="34"/>
      <c r="X6" s="8"/>
    </row>
    <row r="7" spans="1:24" x14ac:dyDescent="0.5">
      <c r="A7" s="2" t="s">
        <v>4</v>
      </c>
      <c r="B7" s="3" t="s">
        <v>833</v>
      </c>
      <c r="C7" s="6"/>
      <c r="D7" s="6"/>
      <c r="E7" s="6"/>
      <c r="F7" s="6"/>
      <c r="G7" s="6"/>
      <c r="H7" s="6"/>
      <c r="I7" s="6"/>
      <c r="J7" s="6"/>
      <c r="K7" s="6"/>
      <c r="L7" s="6"/>
      <c r="M7" s="6"/>
      <c r="N7" s="6"/>
      <c r="O7" s="6"/>
      <c r="P7" s="6"/>
      <c r="Q7" s="6"/>
      <c r="R7" s="6"/>
      <c r="S7" s="8" t="s">
        <v>831</v>
      </c>
      <c r="T7" s="71" t="s">
        <v>833</v>
      </c>
      <c r="U7" s="8" t="s">
        <v>746</v>
      </c>
      <c r="V7" s="34" t="s">
        <v>518</v>
      </c>
      <c r="W7" s="34"/>
      <c r="X7" s="8"/>
    </row>
    <row r="8" spans="1:24" x14ac:dyDescent="0.5">
      <c r="A8" s="2" t="s">
        <v>4</v>
      </c>
      <c r="B8" s="3" t="s">
        <v>834</v>
      </c>
      <c r="C8" s="6"/>
      <c r="D8" s="6"/>
      <c r="E8" s="6"/>
      <c r="F8" s="6"/>
      <c r="G8" s="6"/>
      <c r="H8" s="6"/>
      <c r="I8" s="6"/>
      <c r="J8" s="6"/>
      <c r="K8" s="6"/>
      <c r="L8" s="6"/>
      <c r="M8" s="6"/>
      <c r="N8" s="6"/>
      <c r="O8" s="6"/>
      <c r="P8" s="6"/>
      <c r="Q8" s="6"/>
      <c r="R8" s="6"/>
      <c r="S8" s="8" t="s">
        <v>832</v>
      </c>
      <c r="T8" s="71" t="s">
        <v>834</v>
      </c>
      <c r="U8" s="8" t="s">
        <v>746</v>
      </c>
      <c r="V8" s="34" t="s">
        <v>518</v>
      </c>
      <c r="W8" s="34"/>
      <c r="X8" s="8"/>
    </row>
    <row r="9" spans="1:24" x14ac:dyDescent="0.5">
      <c r="A9" s="2" t="s">
        <v>4</v>
      </c>
      <c r="B9" s="3" t="s">
        <v>842</v>
      </c>
      <c r="C9" s="6"/>
      <c r="D9" s="6"/>
      <c r="E9" s="6"/>
      <c r="F9" s="6"/>
      <c r="G9" s="6"/>
      <c r="H9" s="6"/>
      <c r="I9" s="6"/>
      <c r="J9" s="6"/>
      <c r="K9" s="4" t="s">
        <v>360</v>
      </c>
      <c r="L9" s="4" t="s">
        <v>361</v>
      </c>
      <c r="M9" s="4" t="s">
        <v>362</v>
      </c>
      <c r="N9" s="4" t="s">
        <v>1594</v>
      </c>
      <c r="O9" s="4" t="s">
        <v>603</v>
      </c>
      <c r="P9" s="4" t="s">
        <v>604</v>
      </c>
      <c r="Q9" s="4" t="s">
        <v>362</v>
      </c>
      <c r="R9" s="4" t="s">
        <v>362</v>
      </c>
      <c r="S9" s="8" t="s">
        <v>843</v>
      </c>
      <c r="T9" s="71" t="s">
        <v>842</v>
      </c>
      <c r="U9" s="8" t="s">
        <v>792</v>
      </c>
      <c r="V9" s="34" t="s">
        <v>518</v>
      </c>
      <c r="W9" s="34"/>
      <c r="X9" s="8"/>
    </row>
    <row r="10" spans="1:24" ht="32.5" customHeight="1" x14ac:dyDescent="0.5">
      <c r="A10" s="2" t="s">
        <v>4</v>
      </c>
      <c r="B10" s="3" t="s">
        <v>1437</v>
      </c>
      <c r="C10" s="4" t="s">
        <v>216</v>
      </c>
      <c r="D10" s="6"/>
      <c r="E10" s="6"/>
      <c r="F10" s="6"/>
      <c r="G10" s="6"/>
      <c r="H10" s="6"/>
      <c r="I10" s="6"/>
      <c r="J10" s="6"/>
      <c r="K10" s="6"/>
      <c r="L10" s="6"/>
      <c r="M10" s="6"/>
      <c r="N10" s="6"/>
      <c r="O10" s="6"/>
      <c r="P10" s="6"/>
      <c r="Q10" s="6"/>
      <c r="R10" s="6"/>
      <c r="S10" s="37" t="s">
        <v>1371</v>
      </c>
      <c r="T10" s="33" t="s">
        <v>835</v>
      </c>
      <c r="U10" s="8" t="s">
        <v>792</v>
      </c>
      <c r="V10" s="34" t="s">
        <v>518</v>
      </c>
      <c r="W10" s="71" t="s">
        <v>838</v>
      </c>
      <c r="X10" s="197" t="s">
        <v>839</v>
      </c>
    </row>
    <row r="11" spans="1:24" ht="32" customHeight="1" x14ac:dyDescent="0.5">
      <c r="A11" s="2" t="s">
        <v>4</v>
      </c>
      <c r="B11" s="3" t="s">
        <v>1438</v>
      </c>
      <c r="C11" s="4" t="s">
        <v>216</v>
      </c>
      <c r="D11" s="6"/>
      <c r="E11" s="6"/>
      <c r="F11" s="6"/>
      <c r="G11" s="6"/>
      <c r="H11" s="6"/>
      <c r="I11" s="6"/>
      <c r="J11" s="6"/>
      <c r="K11" s="6"/>
      <c r="L11" s="6"/>
      <c r="M11" s="6"/>
      <c r="N11" s="6"/>
      <c r="O11" s="6"/>
      <c r="P11" s="6"/>
      <c r="Q11" s="6"/>
      <c r="R11" s="6"/>
      <c r="S11" s="37" t="s">
        <v>1372</v>
      </c>
      <c r="T11" s="33" t="s">
        <v>836</v>
      </c>
      <c r="U11" s="8" t="s">
        <v>792</v>
      </c>
      <c r="V11" s="34" t="s">
        <v>518</v>
      </c>
      <c r="W11" s="71" t="s">
        <v>838</v>
      </c>
      <c r="X11" s="197"/>
    </row>
    <row r="12" spans="1:24" ht="27" customHeight="1" x14ac:dyDescent="0.5">
      <c r="A12" s="2" t="s">
        <v>4</v>
      </c>
      <c r="B12" s="3" t="s">
        <v>1439</v>
      </c>
      <c r="C12" s="4" t="s">
        <v>216</v>
      </c>
      <c r="D12" s="6"/>
      <c r="E12" s="6"/>
      <c r="F12" s="6"/>
      <c r="G12" s="6"/>
      <c r="H12" s="6"/>
      <c r="I12" s="6"/>
      <c r="J12" s="6"/>
      <c r="K12" s="6"/>
      <c r="L12" s="6"/>
      <c r="M12" s="6"/>
      <c r="N12" s="6"/>
      <c r="O12" s="6"/>
      <c r="P12" s="6"/>
      <c r="Q12" s="6"/>
      <c r="R12" s="6"/>
      <c r="S12" s="37" t="s">
        <v>1374</v>
      </c>
      <c r="T12" s="45" t="s">
        <v>834</v>
      </c>
      <c r="U12" s="8" t="s">
        <v>792</v>
      </c>
      <c r="V12" s="34" t="s">
        <v>518</v>
      </c>
      <c r="W12" s="71" t="s">
        <v>838</v>
      </c>
      <c r="X12" s="73" t="s">
        <v>840</v>
      </c>
    </row>
    <row r="13" spans="1:24" ht="24" customHeight="1" x14ac:dyDescent="0.5">
      <c r="A13" s="2" t="s">
        <v>4</v>
      </c>
      <c r="B13" s="3" t="s">
        <v>1440</v>
      </c>
      <c r="C13" s="4" t="s">
        <v>216</v>
      </c>
      <c r="D13" s="6"/>
      <c r="E13" s="6"/>
      <c r="F13" s="6"/>
      <c r="G13" s="6"/>
      <c r="H13" s="6"/>
      <c r="I13" s="6"/>
      <c r="J13" s="6"/>
      <c r="K13" s="6"/>
      <c r="L13" s="6"/>
      <c r="M13" s="6"/>
      <c r="N13" s="6"/>
      <c r="O13" s="6"/>
      <c r="P13" s="6"/>
      <c r="Q13" s="6"/>
      <c r="R13" s="6"/>
      <c r="S13" s="37" t="s">
        <v>1373</v>
      </c>
      <c r="T13" s="33" t="s">
        <v>837</v>
      </c>
      <c r="U13" s="8" t="s">
        <v>792</v>
      </c>
      <c r="V13" s="34" t="s">
        <v>518</v>
      </c>
      <c r="W13" s="71" t="s">
        <v>838</v>
      </c>
      <c r="X13" s="58" t="s">
        <v>841</v>
      </c>
    </row>
    <row r="14" spans="1:24" x14ac:dyDescent="0.5">
      <c r="X14" s="74"/>
    </row>
    <row r="18" spans="9:9" x14ac:dyDescent="0.5">
      <c r="I18" s="156"/>
    </row>
  </sheetData>
  <mergeCells count="1">
    <mergeCell ref="X10:X11"/>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443FC-3486-4E64-B125-6233369C4EFD}">
  <sheetPr codeName="Sheet17"/>
  <dimension ref="A1:K24"/>
  <sheetViews>
    <sheetView zoomScale="65" zoomScaleNormal="65" workbookViewId="0">
      <selection activeCell="F15" sqref="F15"/>
    </sheetView>
  </sheetViews>
  <sheetFormatPr defaultRowHeight="14.35" x14ac:dyDescent="0.5"/>
  <cols>
    <col min="1" max="1" width="15.52734375" customWidth="1"/>
    <col min="2" max="2" width="83" customWidth="1"/>
    <col min="3" max="3" width="20.8203125" customWidth="1"/>
    <col min="4" max="6" width="37.8203125" customWidth="1"/>
    <col min="7" max="8" width="43.05859375" customWidth="1"/>
    <col min="9" max="9" width="8.703125" style="35"/>
    <col min="10" max="10" width="14.46875" style="35" bestFit="1" customWidth="1"/>
    <col min="11" max="11" width="29.8203125" customWidth="1"/>
  </cols>
  <sheetData>
    <row r="1" spans="1:11" x14ac:dyDescent="0.5">
      <c r="A1" s="9" t="s">
        <v>0</v>
      </c>
      <c r="B1" s="9" t="s">
        <v>1</v>
      </c>
      <c r="C1" s="9" t="s">
        <v>8</v>
      </c>
      <c r="D1" s="9" t="s">
        <v>566</v>
      </c>
      <c r="E1" s="9" t="s">
        <v>711</v>
      </c>
      <c r="F1" s="9" t="s">
        <v>712</v>
      </c>
      <c r="G1" s="36" t="s">
        <v>1436</v>
      </c>
      <c r="H1" s="9" t="s">
        <v>68</v>
      </c>
      <c r="I1" s="9" t="s">
        <v>745</v>
      </c>
      <c r="J1" s="39" t="s">
        <v>767</v>
      </c>
      <c r="K1" s="40" t="s">
        <v>768</v>
      </c>
    </row>
    <row r="2" spans="1:11" ht="14.5" customHeight="1" x14ac:dyDescent="0.5">
      <c r="A2" s="2" t="s">
        <v>4</v>
      </c>
      <c r="B2" s="3" t="s">
        <v>240</v>
      </c>
      <c r="C2" s="4" t="s">
        <v>216</v>
      </c>
      <c r="D2" s="6"/>
      <c r="E2" s="6"/>
      <c r="F2" s="6"/>
      <c r="G2" s="8" t="s">
        <v>750</v>
      </c>
      <c r="H2" s="45" t="s">
        <v>887</v>
      </c>
      <c r="I2" s="34" t="s">
        <v>746</v>
      </c>
      <c r="J2" s="34" t="s">
        <v>518</v>
      </c>
      <c r="K2" s="198" t="s">
        <v>769</v>
      </c>
    </row>
    <row r="3" spans="1:11" ht="24" x14ac:dyDescent="0.5">
      <c r="A3" s="2" t="s">
        <v>4</v>
      </c>
      <c r="B3" s="3" t="s">
        <v>241</v>
      </c>
      <c r="C3" s="4" t="s">
        <v>216</v>
      </c>
      <c r="D3" s="6"/>
      <c r="E3" s="6"/>
      <c r="F3" s="6"/>
      <c r="G3" s="8" t="s">
        <v>751</v>
      </c>
      <c r="H3" s="45" t="s">
        <v>888</v>
      </c>
      <c r="I3" s="34" t="s">
        <v>746</v>
      </c>
      <c r="J3" s="34" t="s">
        <v>518</v>
      </c>
      <c r="K3" s="198"/>
    </row>
    <row r="4" spans="1:11" ht="24" x14ac:dyDescent="0.5">
      <c r="A4" s="2" t="s">
        <v>4</v>
      </c>
      <c r="B4" s="3" t="s">
        <v>242</v>
      </c>
      <c r="C4" s="4" t="s">
        <v>216</v>
      </c>
      <c r="D4" s="6"/>
      <c r="E4" s="6"/>
      <c r="F4" s="6"/>
      <c r="G4" s="8" t="s">
        <v>752</v>
      </c>
      <c r="H4" s="45" t="s">
        <v>889</v>
      </c>
      <c r="I4" s="34" t="s">
        <v>746</v>
      </c>
      <c r="J4" s="34" t="s">
        <v>518</v>
      </c>
      <c r="K4" s="198"/>
    </row>
    <row r="5" spans="1:11" ht="24" x14ac:dyDescent="0.5">
      <c r="A5" s="2" t="s">
        <v>4</v>
      </c>
      <c r="B5" s="3" t="s">
        <v>243</v>
      </c>
      <c r="C5" s="4" t="s">
        <v>216</v>
      </c>
      <c r="D5" s="6"/>
      <c r="E5" s="6"/>
      <c r="F5" s="6"/>
      <c r="G5" s="8" t="s">
        <v>753</v>
      </c>
      <c r="H5" s="45" t="s">
        <v>890</v>
      </c>
      <c r="I5" s="34" t="s">
        <v>746</v>
      </c>
      <c r="J5" s="34" t="s">
        <v>518</v>
      </c>
      <c r="K5" s="198"/>
    </row>
    <row r="6" spans="1:11" ht="24" x14ac:dyDescent="0.5">
      <c r="A6" s="2" t="s">
        <v>4</v>
      </c>
      <c r="B6" s="3" t="s">
        <v>244</v>
      </c>
      <c r="C6" s="4" t="s">
        <v>216</v>
      </c>
      <c r="D6" s="6"/>
      <c r="E6" s="6"/>
      <c r="F6" s="6"/>
      <c r="G6" s="8" t="s">
        <v>754</v>
      </c>
      <c r="H6" s="45" t="s">
        <v>891</v>
      </c>
      <c r="I6" s="34" t="s">
        <v>746</v>
      </c>
      <c r="J6" s="34" t="s">
        <v>518</v>
      </c>
      <c r="K6" s="198"/>
    </row>
    <row r="7" spans="1:11" ht="82.35" x14ac:dyDescent="0.5">
      <c r="A7" s="2" t="s">
        <v>4</v>
      </c>
      <c r="B7" s="3" t="s">
        <v>245</v>
      </c>
      <c r="C7" s="4" t="s">
        <v>216</v>
      </c>
      <c r="D7" s="6"/>
      <c r="E7" s="6"/>
      <c r="F7" s="6"/>
      <c r="G7" s="8" t="s">
        <v>755</v>
      </c>
      <c r="H7" s="44" t="s">
        <v>892</v>
      </c>
      <c r="I7" s="34" t="s">
        <v>746</v>
      </c>
      <c r="J7" s="34" t="s">
        <v>518</v>
      </c>
      <c r="K7" s="198"/>
    </row>
    <row r="8" spans="1:11" ht="43.5" customHeight="1" x14ac:dyDescent="0.5">
      <c r="A8" s="2" t="s">
        <v>4</v>
      </c>
      <c r="B8" s="3" t="s">
        <v>246</v>
      </c>
      <c r="C8" s="4" t="s">
        <v>216</v>
      </c>
      <c r="D8" s="6"/>
      <c r="E8" s="6"/>
      <c r="F8" s="6"/>
      <c r="G8" s="8" t="s">
        <v>1375</v>
      </c>
      <c r="H8" s="33" t="s">
        <v>886</v>
      </c>
      <c r="I8" s="34" t="s">
        <v>746</v>
      </c>
      <c r="J8" s="34" t="s">
        <v>518</v>
      </c>
      <c r="K8" s="198"/>
    </row>
    <row r="9" spans="1:11" ht="22.7" x14ac:dyDescent="0.5">
      <c r="A9" s="2" t="s">
        <v>4</v>
      </c>
      <c r="B9" s="3" t="s">
        <v>564</v>
      </c>
      <c r="C9" s="4" t="s">
        <v>216</v>
      </c>
      <c r="D9" s="4" t="s">
        <v>565</v>
      </c>
      <c r="E9" s="6"/>
      <c r="F9" s="6"/>
      <c r="G9" s="8" t="s">
        <v>1376</v>
      </c>
      <c r="H9" s="33" t="s">
        <v>885</v>
      </c>
      <c r="I9" s="34" t="s">
        <v>746</v>
      </c>
      <c r="J9" s="34" t="s">
        <v>518</v>
      </c>
      <c r="K9" s="198"/>
    </row>
    <row r="10" spans="1:11" x14ac:dyDescent="0.5">
      <c r="A10" s="2" t="s">
        <v>4</v>
      </c>
      <c r="B10" s="3" t="s">
        <v>709</v>
      </c>
      <c r="C10" s="6"/>
      <c r="D10" s="6"/>
      <c r="E10" s="4" t="s">
        <v>710</v>
      </c>
      <c r="F10" s="11" t="s">
        <v>1454</v>
      </c>
      <c r="G10" s="8" t="s">
        <v>1377</v>
      </c>
      <c r="H10" s="33" t="s">
        <v>709</v>
      </c>
      <c r="I10" s="34" t="s">
        <v>746</v>
      </c>
      <c r="J10" s="34" t="s">
        <v>518</v>
      </c>
      <c r="K10" s="198"/>
    </row>
    <row r="11" spans="1:11" x14ac:dyDescent="0.5">
      <c r="A11" s="2" t="s">
        <v>4</v>
      </c>
      <c r="B11" s="3" t="s">
        <v>747</v>
      </c>
      <c r="C11" s="6"/>
      <c r="D11" s="6"/>
      <c r="E11" s="6"/>
      <c r="F11" s="6"/>
      <c r="G11" s="8" t="s">
        <v>1378</v>
      </c>
      <c r="H11" s="33" t="s">
        <v>747</v>
      </c>
      <c r="I11" s="34" t="s">
        <v>746</v>
      </c>
      <c r="J11" s="34" t="s">
        <v>518</v>
      </c>
      <c r="K11" s="198"/>
    </row>
    <row r="12" spans="1:11" x14ac:dyDescent="0.5">
      <c r="A12" s="2" t="s">
        <v>4</v>
      </c>
      <c r="B12" s="3" t="s">
        <v>748</v>
      </c>
      <c r="C12" s="6"/>
      <c r="D12" s="6"/>
      <c r="E12" s="6"/>
      <c r="F12" s="6"/>
      <c r="G12" s="8" t="s">
        <v>1379</v>
      </c>
      <c r="H12" s="33" t="s">
        <v>748</v>
      </c>
      <c r="I12" s="34" t="s">
        <v>746</v>
      </c>
      <c r="J12" s="41" t="s">
        <v>518</v>
      </c>
      <c r="K12" s="198"/>
    </row>
    <row r="13" spans="1:11" x14ac:dyDescent="0.5">
      <c r="A13" s="2" t="s">
        <v>4</v>
      </c>
      <c r="B13" s="3" t="s">
        <v>749</v>
      </c>
      <c r="C13" s="6"/>
      <c r="D13" s="6"/>
      <c r="E13" s="6"/>
      <c r="F13" s="6"/>
      <c r="G13" s="42" t="s">
        <v>1380</v>
      </c>
      <c r="H13" s="33" t="s">
        <v>749</v>
      </c>
      <c r="I13" s="13" t="s">
        <v>746</v>
      </c>
      <c r="J13" s="34" t="s">
        <v>518</v>
      </c>
      <c r="K13" s="198"/>
    </row>
    <row r="15" spans="1:11" x14ac:dyDescent="0.5">
      <c r="J15"/>
    </row>
    <row r="23" spans="9:10" x14ac:dyDescent="0.5">
      <c r="I23" s="35">
        <f>COUNTIF(I2:I13,"GUI")</f>
        <v>12</v>
      </c>
      <c r="J23">
        <f>COUNTIF(J10:J22,"Yes")</f>
        <v>0</v>
      </c>
    </row>
    <row r="24" spans="9:10" x14ac:dyDescent="0.5">
      <c r="I24" s="35">
        <f>COUNTIF(I2:I5,"CLI")</f>
        <v>0</v>
      </c>
    </row>
  </sheetData>
  <mergeCells count="1">
    <mergeCell ref="K2:K13"/>
  </mergeCells>
  <hyperlinks>
    <hyperlink ref="F10" r:id="rId1" xr:uid="{7A67D84A-D8EA-4B58-BC9A-8780C83C21E7}"/>
  </hyperlinks>
  <pageMargins left="0.7" right="0.7" top="0.75" bottom="0.75" header="0.3" footer="0.3"/>
  <pageSetup orientation="portrait"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46C52-010F-4492-8788-92146242E273}">
  <sheetPr codeName="Sheet18"/>
  <dimension ref="A1:J5"/>
  <sheetViews>
    <sheetView zoomScale="89" workbookViewId="0">
      <selection activeCell="B16" sqref="B16"/>
    </sheetView>
  </sheetViews>
  <sheetFormatPr defaultRowHeight="14.35" x14ac:dyDescent="0.5"/>
  <cols>
    <col min="1" max="1" width="16.3515625" customWidth="1"/>
    <col min="2" max="2" width="47.29296875" customWidth="1"/>
    <col min="3" max="4" width="15.17578125" customWidth="1"/>
    <col min="5" max="5" width="21.52734375" customWidth="1"/>
    <col min="6" max="6" width="35.703125" customWidth="1"/>
    <col min="8" max="8" width="15.29296875" customWidth="1"/>
    <col min="9" max="9" width="21.8203125" customWidth="1"/>
    <col min="10" max="10" width="22.87890625" customWidth="1"/>
  </cols>
  <sheetData>
    <row r="1" spans="1:10" x14ac:dyDescent="0.5">
      <c r="A1" s="9" t="s">
        <v>0</v>
      </c>
      <c r="B1" s="7" t="s">
        <v>1</v>
      </c>
      <c r="C1" s="7" t="s">
        <v>8</v>
      </c>
      <c r="D1" s="9" t="s">
        <v>247</v>
      </c>
      <c r="E1" s="36" t="s">
        <v>1436</v>
      </c>
      <c r="F1" s="9" t="s">
        <v>68</v>
      </c>
      <c r="G1" s="9" t="s">
        <v>745</v>
      </c>
      <c r="H1" s="36" t="s">
        <v>767</v>
      </c>
      <c r="I1" s="49" t="s">
        <v>770</v>
      </c>
      <c r="J1" s="40" t="s">
        <v>768</v>
      </c>
    </row>
    <row r="2" spans="1:10" x14ac:dyDescent="0.5">
      <c r="A2" s="2" t="s">
        <v>4</v>
      </c>
      <c r="B2" s="22" t="s">
        <v>249</v>
      </c>
      <c r="C2" s="4" t="s">
        <v>216</v>
      </c>
      <c r="D2" s="6"/>
      <c r="E2" s="8" t="s">
        <v>761</v>
      </c>
      <c r="F2" s="45" t="s">
        <v>249</v>
      </c>
      <c r="G2" s="44" t="s">
        <v>746</v>
      </c>
      <c r="H2" s="44" t="s">
        <v>518</v>
      </c>
      <c r="J2" s="198" t="s">
        <v>769</v>
      </c>
    </row>
    <row r="3" spans="1:10" x14ac:dyDescent="0.5">
      <c r="A3" s="2" t="s">
        <v>4</v>
      </c>
      <c r="B3" s="3" t="s">
        <v>250</v>
      </c>
      <c r="C3" s="4" t="s">
        <v>216</v>
      </c>
      <c r="D3" s="4" t="s">
        <v>251</v>
      </c>
      <c r="E3" s="8" t="s">
        <v>760</v>
      </c>
      <c r="F3" s="45" t="s">
        <v>250</v>
      </c>
      <c r="G3" s="45" t="s">
        <v>746</v>
      </c>
      <c r="H3" s="45" t="s">
        <v>518</v>
      </c>
      <c r="I3" s="44"/>
      <c r="J3" s="198"/>
    </row>
    <row r="4" spans="1:10" ht="24" x14ac:dyDescent="0.5">
      <c r="A4" s="2" t="s">
        <v>4</v>
      </c>
      <c r="B4" s="3" t="s">
        <v>756</v>
      </c>
      <c r="C4" s="6"/>
      <c r="D4" s="6"/>
      <c r="E4" s="8" t="s">
        <v>758</v>
      </c>
      <c r="F4" s="44" t="s">
        <v>756</v>
      </c>
      <c r="G4" s="45" t="s">
        <v>746</v>
      </c>
      <c r="H4" s="45" t="s">
        <v>518</v>
      </c>
      <c r="J4" s="198"/>
    </row>
    <row r="5" spans="1:10" ht="24" x14ac:dyDescent="0.5">
      <c r="A5" s="2" t="s">
        <v>4</v>
      </c>
      <c r="B5" s="3" t="s">
        <v>757</v>
      </c>
      <c r="C5" s="6"/>
      <c r="D5" s="6"/>
      <c r="E5" s="8" t="s">
        <v>759</v>
      </c>
      <c r="F5" s="45" t="s">
        <v>757</v>
      </c>
      <c r="G5" s="45" t="s">
        <v>746</v>
      </c>
      <c r="H5" s="45" t="s">
        <v>518</v>
      </c>
      <c r="I5" s="50" t="s">
        <v>771</v>
      </c>
      <c r="J5" s="198"/>
    </row>
  </sheetData>
  <mergeCells count="1">
    <mergeCell ref="J2:J5"/>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67CE-FCEC-461D-9F20-47A0F16B731F}">
  <sheetPr codeName="Sheet19"/>
  <dimension ref="A1:K8"/>
  <sheetViews>
    <sheetView zoomScale="72" workbookViewId="0">
      <selection activeCell="G1" sqref="G1"/>
    </sheetView>
  </sheetViews>
  <sheetFormatPr defaultRowHeight="14.35" x14ac:dyDescent="0.5"/>
  <cols>
    <col min="1" max="1" width="16.3515625" customWidth="1"/>
    <col min="2" max="2" width="18.17578125" customWidth="1"/>
    <col min="3" max="3" width="20.17578125" customWidth="1"/>
    <col min="4" max="4" width="29.05859375" customWidth="1"/>
    <col min="5" max="5" width="24.17578125" customWidth="1"/>
    <col min="6" max="6" width="31.8203125" customWidth="1"/>
    <col min="7" max="7" width="21.52734375" customWidth="1"/>
    <col min="8" max="8" width="82.05859375" customWidth="1"/>
    <col min="10" max="10" width="16.52734375" customWidth="1"/>
    <col min="11" max="11" width="22.87890625" customWidth="1"/>
  </cols>
  <sheetData>
    <row r="1" spans="1:11" x14ac:dyDescent="0.5">
      <c r="A1" s="9" t="s">
        <v>0</v>
      </c>
      <c r="B1" s="9" t="s">
        <v>1</v>
      </c>
      <c r="C1" s="9" t="s">
        <v>212</v>
      </c>
      <c r="D1" s="9" t="s">
        <v>8</v>
      </c>
      <c r="E1" s="9" t="s">
        <v>374</v>
      </c>
      <c r="F1" s="9" t="s">
        <v>375</v>
      </c>
      <c r="G1" s="38" t="s">
        <v>1436</v>
      </c>
      <c r="H1" s="9" t="s">
        <v>68</v>
      </c>
      <c r="I1" s="43" t="s">
        <v>745</v>
      </c>
      <c r="J1" s="39" t="s">
        <v>767</v>
      </c>
      <c r="K1" s="40" t="s">
        <v>768</v>
      </c>
    </row>
    <row r="2" spans="1:11" x14ac:dyDescent="0.5">
      <c r="A2" s="2" t="s">
        <v>4</v>
      </c>
      <c r="B2" s="3" t="s">
        <v>376</v>
      </c>
      <c r="C2" s="4" t="s">
        <v>18</v>
      </c>
      <c r="D2" s="4" t="s">
        <v>216</v>
      </c>
      <c r="E2" s="4" t="s">
        <v>18</v>
      </c>
      <c r="F2" s="4" t="s">
        <v>377</v>
      </c>
      <c r="G2" s="8" t="s">
        <v>764</v>
      </c>
      <c r="H2" s="6" t="s">
        <v>378</v>
      </c>
      <c r="I2" s="45" t="s">
        <v>746</v>
      </c>
      <c r="J2" s="47" t="s">
        <v>518</v>
      </c>
      <c r="K2" s="198" t="s">
        <v>769</v>
      </c>
    </row>
    <row r="3" spans="1:11" x14ac:dyDescent="0.5">
      <c r="A3" s="2" t="s">
        <v>4</v>
      </c>
      <c r="B3" s="3" t="s">
        <v>525</v>
      </c>
      <c r="C3" s="4" t="s">
        <v>18</v>
      </c>
      <c r="D3" s="6"/>
      <c r="E3" s="4" t="s">
        <v>18</v>
      </c>
      <c r="F3" s="4" t="s">
        <v>377</v>
      </c>
      <c r="G3" s="8" t="s">
        <v>765</v>
      </c>
      <c r="H3" s="6" t="s">
        <v>762</v>
      </c>
      <c r="I3" s="45" t="s">
        <v>746</v>
      </c>
      <c r="J3" s="47" t="s">
        <v>518</v>
      </c>
      <c r="K3" s="198"/>
    </row>
    <row r="4" spans="1:11" x14ac:dyDescent="0.5">
      <c r="A4" s="2" t="s">
        <v>4</v>
      </c>
      <c r="B4" s="3" t="s">
        <v>528</v>
      </c>
      <c r="C4" s="4" t="s">
        <v>18</v>
      </c>
      <c r="D4" s="6"/>
      <c r="E4" s="6"/>
      <c r="F4" s="6"/>
      <c r="G4" s="8" t="s">
        <v>763</v>
      </c>
      <c r="H4" s="6" t="s">
        <v>567</v>
      </c>
      <c r="I4" s="45" t="s">
        <v>746</v>
      </c>
      <c r="J4" s="47" t="s">
        <v>518</v>
      </c>
      <c r="K4" s="198"/>
    </row>
    <row r="5" spans="1:11" x14ac:dyDescent="0.5">
      <c r="A5" s="2" t="s">
        <v>4</v>
      </c>
      <c r="B5" s="3" t="s">
        <v>526</v>
      </c>
      <c r="C5" s="4" t="s">
        <v>18</v>
      </c>
      <c r="D5" s="4" t="s">
        <v>216</v>
      </c>
      <c r="E5" s="6"/>
      <c r="F5" s="6"/>
      <c r="G5" s="8" t="s">
        <v>766</v>
      </c>
      <c r="H5" s="6" t="s">
        <v>527</v>
      </c>
      <c r="I5" s="45" t="s">
        <v>746</v>
      </c>
      <c r="J5" s="47" t="s">
        <v>518</v>
      </c>
      <c r="K5" s="198"/>
    </row>
    <row r="6" spans="1:11" x14ac:dyDescent="0.5">
      <c r="I6" s="46"/>
      <c r="J6" s="48"/>
    </row>
    <row r="7" spans="1:11" x14ac:dyDescent="0.5">
      <c r="I7" s="35"/>
    </row>
    <row r="8" spans="1:11" x14ac:dyDescent="0.5">
      <c r="I8" s="35"/>
    </row>
  </sheetData>
  <mergeCells count="1">
    <mergeCell ref="K2:K5"/>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E4EB1-D79A-40F3-AEB2-3391199252F4}">
  <sheetPr codeName="Sheet20"/>
  <dimension ref="A1:O21"/>
  <sheetViews>
    <sheetView topLeftCell="B1" zoomScale="64" workbookViewId="0">
      <selection activeCell="I29" sqref="I29"/>
    </sheetView>
  </sheetViews>
  <sheetFormatPr defaultRowHeight="14.35" x14ac:dyDescent="0.5"/>
  <cols>
    <col min="2" max="2" width="30" customWidth="1"/>
    <col min="3" max="3" width="29.17578125" customWidth="1"/>
    <col min="4" max="4" width="19.17578125" customWidth="1"/>
    <col min="5" max="5" width="13.46875" customWidth="1"/>
    <col min="6" max="6" width="12.05859375" customWidth="1"/>
    <col min="7" max="7" width="15.64453125" customWidth="1"/>
    <col min="8" max="8" width="14.29296875" customWidth="1"/>
    <col min="9" max="9" width="95.3515625" customWidth="1"/>
    <col min="10" max="10" width="27.8203125" customWidth="1"/>
    <col min="11" max="11" width="54.87890625" customWidth="1"/>
    <col min="12" max="12" width="15.8203125" customWidth="1"/>
    <col min="13" max="14" width="17" customWidth="1"/>
    <col min="15" max="15" width="30.46875" customWidth="1"/>
  </cols>
  <sheetData>
    <row r="1" spans="1:15" x14ac:dyDescent="0.5">
      <c r="A1" s="9" t="s">
        <v>0</v>
      </c>
      <c r="B1" s="9" t="s">
        <v>1</v>
      </c>
      <c r="C1" s="9" t="s">
        <v>537</v>
      </c>
      <c r="D1" s="9" t="s">
        <v>538</v>
      </c>
      <c r="E1" s="9" t="s">
        <v>110</v>
      </c>
      <c r="F1" s="9" t="s">
        <v>2</v>
      </c>
      <c r="G1" s="9" t="s">
        <v>3</v>
      </c>
      <c r="H1" s="24" t="s">
        <v>539</v>
      </c>
      <c r="I1" s="9" t="s">
        <v>577</v>
      </c>
      <c r="J1" s="9" t="s">
        <v>1436</v>
      </c>
      <c r="K1" s="24" t="s">
        <v>68</v>
      </c>
      <c r="L1" s="43" t="s">
        <v>745</v>
      </c>
      <c r="M1" s="39" t="s">
        <v>767</v>
      </c>
      <c r="N1" s="49" t="s">
        <v>770</v>
      </c>
      <c r="O1" s="40" t="s">
        <v>768</v>
      </c>
    </row>
    <row r="2" spans="1:15" x14ac:dyDescent="0.5">
      <c r="A2" s="2" t="s">
        <v>4</v>
      </c>
      <c r="B2" s="3" t="s">
        <v>540</v>
      </c>
      <c r="C2" s="6"/>
      <c r="D2" s="6"/>
      <c r="E2" s="4" t="s">
        <v>360</v>
      </c>
      <c r="F2" s="4" t="s">
        <v>361</v>
      </c>
      <c r="G2" s="11" t="s">
        <v>362</v>
      </c>
      <c r="H2" s="11" t="s">
        <v>541</v>
      </c>
      <c r="I2" s="6"/>
      <c r="J2" s="8" t="s">
        <v>782</v>
      </c>
      <c r="K2" s="53" t="s">
        <v>540</v>
      </c>
      <c r="L2" s="53" t="s">
        <v>792</v>
      </c>
      <c r="M2" s="56" t="s">
        <v>518</v>
      </c>
      <c r="N2" s="51"/>
      <c r="O2" s="198" t="s">
        <v>769</v>
      </c>
    </row>
    <row r="3" spans="1:15" x14ac:dyDescent="0.5">
      <c r="A3" s="2" t="s">
        <v>4</v>
      </c>
      <c r="B3" s="3" t="s">
        <v>542</v>
      </c>
      <c r="C3" s="4" t="s">
        <v>543</v>
      </c>
      <c r="D3" s="6"/>
      <c r="E3" s="6"/>
      <c r="F3" s="6"/>
      <c r="G3" s="6"/>
      <c r="H3" s="6"/>
      <c r="I3" s="6"/>
      <c r="J3" s="8" t="s">
        <v>811</v>
      </c>
      <c r="K3" s="33" t="s">
        <v>1053</v>
      </c>
      <c r="L3" s="53" t="s">
        <v>746</v>
      </c>
      <c r="M3" s="56" t="s">
        <v>518</v>
      </c>
      <c r="N3" s="51"/>
      <c r="O3" s="198"/>
    </row>
    <row r="4" spans="1:15" x14ac:dyDescent="0.5">
      <c r="A4" s="2" t="s">
        <v>4</v>
      </c>
      <c r="B4" s="3" t="s">
        <v>544</v>
      </c>
      <c r="C4" s="4" t="s">
        <v>543</v>
      </c>
      <c r="D4" s="4">
        <v>18</v>
      </c>
      <c r="E4" s="6"/>
      <c r="F4" s="6"/>
      <c r="G4" s="6"/>
      <c r="H4" s="6"/>
      <c r="I4" s="6"/>
      <c r="J4" s="8" t="s">
        <v>812</v>
      </c>
      <c r="K4" s="33" t="s">
        <v>1054</v>
      </c>
      <c r="L4" s="54" t="s">
        <v>746</v>
      </c>
      <c r="M4" s="57" t="s">
        <v>518</v>
      </c>
      <c r="N4" s="51"/>
      <c r="O4" s="198"/>
    </row>
    <row r="5" spans="1:15" x14ac:dyDescent="0.5">
      <c r="A5" s="2" t="s">
        <v>4</v>
      </c>
      <c r="B5" s="3" t="s">
        <v>545</v>
      </c>
      <c r="C5" s="4" t="s">
        <v>543</v>
      </c>
      <c r="D5" s="6"/>
      <c r="E5" s="6"/>
      <c r="F5" s="6"/>
      <c r="G5" s="6"/>
      <c r="H5" s="6"/>
      <c r="I5" s="6"/>
      <c r="J5" s="8" t="s">
        <v>813</v>
      </c>
      <c r="K5" s="33" t="s">
        <v>1055</v>
      </c>
      <c r="L5" s="54" t="s">
        <v>746</v>
      </c>
      <c r="M5" s="57" t="s">
        <v>518</v>
      </c>
      <c r="N5" s="51"/>
      <c r="O5" s="198"/>
    </row>
    <row r="6" spans="1:15" x14ac:dyDescent="0.5">
      <c r="A6" s="2" t="s">
        <v>4</v>
      </c>
      <c r="B6" s="3" t="s">
        <v>546</v>
      </c>
      <c r="C6" s="4" t="s">
        <v>543</v>
      </c>
      <c r="D6" s="6"/>
      <c r="E6" s="6"/>
      <c r="F6" s="6"/>
      <c r="G6" s="6"/>
      <c r="H6" s="6"/>
      <c r="I6" s="6"/>
      <c r="J6" s="8" t="s">
        <v>814</v>
      </c>
      <c r="K6" s="33" t="s">
        <v>1056</v>
      </c>
      <c r="L6" s="54" t="s">
        <v>746</v>
      </c>
      <c r="M6" s="57" t="s">
        <v>518</v>
      </c>
      <c r="N6" s="51"/>
      <c r="O6" s="198"/>
    </row>
    <row r="7" spans="1:15" ht="23.35" x14ac:dyDescent="0.5">
      <c r="A7" s="2" t="s">
        <v>4</v>
      </c>
      <c r="B7" s="3" t="s">
        <v>547</v>
      </c>
      <c r="C7" s="4" t="s">
        <v>543</v>
      </c>
      <c r="D7" s="6"/>
      <c r="E7" s="6"/>
      <c r="F7" s="6"/>
      <c r="G7" s="6"/>
      <c r="H7" s="6"/>
      <c r="I7" s="6"/>
      <c r="J7" s="8" t="s">
        <v>815</v>
      </c>
      <c r="K7" s="33" t="s">
        <v>1057</v>
      </c>
      <c r="L7" s="54" t="s">
        <v>746</v>
      </c>
      <c r="M7" s="57" t="s">
        <v>518</v>
      </c>
      <c r="N7" s="120" t="s">
        <v>785</v>
      </c>
      <c r="O7" s="198"/>
    </row>
    <row r="8" spans="1:15" ht="23.35" x14ac:dyDescent="0.5">
      <c r="A8" s="2" t="s">
        <v>4</v>
      </c>
      <c r="B8" s="3" t="s">
        <v>548</v>
      </c>
      <c r="C8" s="4" t="s">
        <v>543</v>
      </c>
      <c r="D8" s="6"/>
      <c r="E8" s="6"/>
      <c r="F8" s="6"/>
      <c r="G8" s="6"/>
      <c r="H8" s="6"/>
      <c r="I8" s="6"/>
      <c r="J8" s="8" t="s">
        <v>816</v>
      </c>
      <c r="K8" s="33" t="s">
        <v>1058</v>
      </c>
      <c r="L8" s="54" t="s">
        <v>746</v>
      </c>
      <c r="M8" s="57" t="s">
        <v>518</v>
      </c>
      <c r="N8" s="120" t="s">
        <v>786</v>
      </c>
      <c r="O8" s="198"/>
    </row>
    <row r="9" spans="1:15" x14ac:dyDescent="0.5">
      <c r="A9" s="2" t="s">
        <v>4</v>
      </c>
      <c r="B9" s="3" t="s">
        <v>549</v>
      </c>
      <c r="C9" s="6"/>
      <c r="D9" s="6"/>
      <c r="E9" s="6"/>
      <c r="F9" s="6"/>
      <c r="G9" s="6"/>
      <c r="H9" s="6"/>
      <c r="I9" s="4" t="s">
        <v>576</v>
      </c>
      <c r="J9" s="8" t="s">
        <v>1059</v>
      </c>
      <c r="K9" s="33" t="s">
        <v>549</v>
      </c>
      <c r="L9" s="54" t="s">
        <v>746</v>
      </c>
      <c r="M9" s="57" t="s">
        <v>518</v>
      </c>
      <c r="N9" s="37"/>
      <c r="O9" s="198"/>
    </row>
    <row r="10" spans="1:15" ht="23.35" x14ac:dyDescent="0.5">
      <c r="A10" s="2" t="s">
        <v>4</v>
      </c>
      <c r="B10" s="3" t="s">
        <v>550</v>
      </c>
      <c r="C10" s="4" t="s">
        <v>575</v>
      </c>
      <c r="D10" s="6"/>
      <c r="E10" s="6"/>
      <c r="F10" s="6"/>
      <c r="G10" s="6"/>
      <c r="H10" s="6"/>
      <c r="I10" s="6"/>
      <c r="J10" s="8" t="s">
        <v>1060</v>
      </c>
      <c r="K10" s="33" t="s">
        <v>550</v>
      </c>
      <c r="L10" s="54" t="s">
        <v>746</v>
      </c>
      <c r="M10" s="57" t="s">
        <v>518</v>
      </c>
      <c r="N10" s="120" t="s">
        <v>787</v>
      </c>
      <c r="O10" s="198"/>
    </row>
    <row r="11" spans="1:15" ht="23.35" x14ac:dyDescent="0.5">
      <c r="A11" s="2" t="s">
        <v>4</v>
      </c>
      <c r="B11" s="3" t="s">
        <v>551</v>
      </c>
      <c r="C11" s="4" t="s">
        <v>575</v>
      </c>
      <c r="D11" s="6"/>
      <c r="E11" s="6"/>
      <c r="F11" s="6"/>
      <c r="G11" s="6"/>
      <c r="H11" s="6"/>
      <c r="I11" s="6"/>
      <c r="J11" s="8" t="s">
        <v>1061</v>
      </c>
      <c r="K11" s="33" t="s">
        <v>551</v>
      </c>
      <c r="L11" s="54" t="s">
        <v>746</v>
      </c>
      <c r="M11" s="57" t="s">
        <v>518</v>
      </c>
      <c r="N11" s="120" t="s">
        <v>789</v>
      </c>
      <c r="O11" s="198"/>
    </row>
    <row r="12" spans="1:15" x14ac:dyDescent="0.5">
      <c r="A12" s="2" t="s">
        <v>4</v>
      </c>
      <c r="B12" s="3" t="s">
        <v>552</v>
      </c>
      <c r="C12" s="6"/>
      <c r="D12" s="6"/>
      <c r="E12" s="6"/>
      <c r="F12" s="6"/>
      <c r="G12" s="6"/>
      <c r="H12" s="6"/>
      <c r="I12" s="6"/>
      <c r="J12" s="8" t="s">
        <v>1062</v>
      </c>
      <c r="K12" s="33" t="s">
        <v>552</v>
      </c>
      <c r="L12" s="54" t="s">
        <v>746</v>
      </c>
      <c r="M12" s="57" t="s">
        <v>518</v>
      </c>
      <c r="N12" s="121"/>
      <c r="O12" s="198"/>
    </row>
    <row r="13" spans="1:15" x14ac:dyDescent="0.5">
      <c r="A13" s="2" t="s">
        <v>4</v>
      </c>
      <c r="B13" s="3" t="s">
        <v>553</v>
      </c>
      <c r="C13" s="4" t="s">
        <v>543</v>
      </c>
      <c r="D13" s="6"/>
      <c r="E13" s="6"/>
      <c r="F13" s="6"/>
      <c r="G13" s="6"/>
      <c r="H13" s="6"/>
      <c r="I13" s="6"/>
      <c r="J13" s="8" t="s">
        <v>1063</v>
      </c>
      <c r="K13" s="33" t="s">
        <v>553</v>
      </c>
      <c r="L13" s="54" t="s">
        <v>746</v>
      </c>
      <c r="M13" s="57" t="s">
        <v>518</v>
      </c>
      <c r="N13" s="37"/>
      <c r="O13" s="198"/>
    </row>
    <row r="14" spans="1:15" ht="23.35" x14ac:dyDescent="0.5">
      <c r="A14" s="2" t="s">
        <v>4</v>
      </c>
      <c r="B14" s="3" t="s">
        <v>554</v>
      </c>
      <c r="C14" s="4" t="s">
        <v>543</v>
      </c>
      <c r="D14" s="6"/>
      <c r="E14" s="6"/>
      <c r="F14" s="6"/>
      <c r="G14" s="6"/>
      <c r="H14" s="6"/>
      <c r="I14" s="6"/>
      <c r="J14" s="8" t="s">
        <v>1064</v>
      </c>
      <c r="K14" s="33" t="s">
        <v>554</v>
      </c>
      <c r="L14" s="54" t="s">
        <v>746</v>
      </c>
      <c r="M14" s="57" t="s">
        <v>518</v>
      </c>
      <c r="N14" s="120" t="s">
        <v>788</v>
      </c>
      <c r="O14" s="198"/>
    </row>
    <row r="15" spans="1:15" x14ac:dyDescent="0.5">
      <c r="A15" s="2" t="s">
        <v>4</v>
      </c>
      <c r="B15" s="3" t="s">
        <v>773</v>
      </c>
      <c r="C15" s="6"/>
      <c r="D15" s="6"/>
      <c r="E15" s="6"/>
      <c r="F15" s="6"/>
      <c r="G15" s="6"/>
      <c r="H15" s="6"/>
      <c r="I15" s="6"/>
      <c r="J15" s="8" t="s">
        <v>781</v>
      </c>
      <c r="K15" s="53" t="s">
        <v>773</v>
      </c>
      <c r="L15" s="54" t="s">
        <v>746</v>
      </c>
      <c r="M15" s="57" t="s">
        <v>518</v>
      </c>
      <c r="N15" s="121"/>
      <c r="O15" s="198"/>
    </row>
    <row r="16" spans="1:15" x14ac:dyDescent="0.5">
      <c r="A16" s="2" t="s">
        <v>4</v>
      </c>
      <c r="B16" s="3" t="s">
        <v>772</v>
      </c>
      <c r="C16" s="6"/>
      <c r="D16" s="6"/>
      <c r="E16" s="6"/>
      <c r="F16" s="6"/>
      <c r="G16" s="6"/>
      <c r="H16" s="6"/>
      <c r="I16" s="6"/>
      <c r="J16" s="8" t="s">
        <v>780</v>
      </c>
      <c r="K16" s="33" t="s">
        <v>772</v>
      </c>
      <c r="L16" s="54" t="s">
        <v>746</v>
      </c>
      <c r="M16" s="57" t="s">
        <v>518</v>
      </c>
      <c r="N16" s="120"/>
      <c r="O16" s="198"/>
    </row>
    <row r="17" spans="1:15" x14ac:dyDescent="0.5">
      <c r="A17" s="2" t="s">
        <v>4</v>
      </c>
      <c r="B17" s="3" t="s">
        <v>784</v>
      </c>
      <c r="C17" s="6"/>
      <c r="D17" s="6"/>
      <c r="E17" s="6"/>
      <c r="F17" s="6"/>
      <c r="G17" s="6"/>
      <c r="H17" s="6"/>
      <c r="I17" s="6"/>
      <c r="J17" s="8" t="s">
        <v>783</v>
      </c>
      <c r="K17" s="33" t="s">
        <v>784</v>
      </c>
      <c r="L17" s="54" t="s">
        <v>746</v>
      </c>
      <c r="M17" s="57" t="s">
        <v>518</v>
      </c>
      <c r="N17" s="121"/>
      <c r="O17" s="198"/>
    </row>
    <row r="18" spans="1:15" x14ac:dyDescent="0.5">
      <c r="A18" s="2" t="s">
        <v>4</v>
      </c>
      <c r="B18" s="3" t="s">
        <v>774</v>
      </c>
      <c r="C18" s="6"/>
      <c r="D18" s="6"/>
      <c r="E18" s="6"/>
      <c r="F18" s="6"/>
      <c r="G18" s="6"/>
      <c r="H18" s="6"/>
      <c r="I18" s="6"/>
      <c r="J18" s="8" t="s">
        <v>777</v>
      </c>
      <c r="K18" s="33" t="s">
        <v>774</v>
      </c>
      <c r="L18" s="54" t="s">
        <v>746</v>
      </c>
      <c r="M18" s="57" t="s">
        <v>518</v>
      </c>
      <c r="N18" s="121"/>
      <c r="O18" s="198"/>
    </row>
    <row r="19" spans="1:15" x14ac:dyDescent="0.5">
      <c r="A19" s="2" t="s">
        <v>4</v>
      </c>
      <c r="B19" s="3" t="s">
        <v>775</v>
      </c>
      <c r="C19" s="6"/>
      <c r="D19" s="6"/>
      <c r="E19" s="6"/>
      <c r="F19" s="6"/>
      <c r="G19" s="6"/>
      <c r="H19" s="6"/>
      <c r="I19" s="6"/>
      <c r="J19" s="8" t="s">
        <v>778</v>
      </c>
      <c r="K19" s="33" t="s">
        <v>775</v>
      </c>
      <c r="L19" s="54" t="s">
        <v>746</v>
      </c>
      <c r="M19" s="57" t="s">
        <v>518</v>
      </c>
      <c r="N19" s="121"/>
      <c r="O19" s="198"/>
    </row>
    <row r="20" spans="1:15" x14ac:dyDescent="0.5">
      <c r="A20" s="2" t="s">
        <v>4</v>
      </c>
      <c r="B20" s="3" t="s">
        <v>776</v>
      </c>
      <c r="C20" s="6"/>
      <c r="D20" s="6"/>
      <c r="E20" s="6"/>
      <c r="F20" s="6"/>
      <c r="G20" s="6"/>
      <c r="H20" s="6"/>
      <c r="I20" s="6"/>
      <c r="J20" s="8" t="s">
        <v>779</v>
      </c>
      <c r="K20" s="33" t="s">
        <v>776</v>
      </c>
      <c r="L20" s="53" t="s">
        <v>746</v>
      </c>
      <c r="M20" s="47" t="s">
        <v>518</v>
      </c>
      <c r="N20" s="120"/>
      <c r="O20" s="198"/>
    </row>
    <row r="21" spans="1:15" x14ac:dyDescent="0.5">
      <c r="M21">
        <f>COUNTIF(M2:M20,"Yes")</f>
        <v>0</v>
      </c>
    </row>
  </sheetData>
  <mergeCells count="1">
    <mergeCell ref="O2:O20"/>
  </mergeCells>
  <hyperlinks>
    <hyperlink ref="G2" r:id="rId1" display="Eric@123" xr:uid="{8A89C5FD-7A85-4754-905E-76DDF755EA2F}"/>
  </hyperlinks>
  <pageMargins left="0.7" right="0.7" top="0.75" bottom="0.75" header="0.3" footer="0.3"/>
  <pageSetup orientation="portrait"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8017-9D6E-40BA-AD8F-5C8B0957916F}">
  <sheetPr codeName="Sheet21"/>
  <dimension ref="A1:I6"/>
  <sheetViews>
    <sheetView zoomScale="74" workbookViewId="0">
      <selection activeCell="C5" sqref="C5"/>
    </sheetView>
  </sheetViews>
  <sheetFormatPr defaultRowHeight="14.35" x14ac:dyDescent="0.5"/>
  <cols>
    <col min="1" max="1" width="17.8203125" customWidth="1"/>
    <col min="2" max="2" width="78.17578125" bestFit="1" customWidth="1"/>
    <col min="3" max="3" width="18.46875" customWidth="1"/>
    <col min="4" max="4" width="34.703125" customWidth="1"/>
    <col min="5" max="5" width="42.3515625" customWidth="1"/>
    <col min="7" max="8" width="15.46875" customWidth="1"/>
    <col min="9" max="9" width="24.46875" customWidth="1"/>
  </cols>
  <sheetData>
    <row r="1" spans="1:9" x14ac:dyDescent="0.5">
      <c r="A1" s="7" t="s">
        <v>0</v>
      </c>
      <c r="B1" s="7" t="s">
        <v>1</v>
      </c>
      <c r="C1" s="7" t="s">
        <v>8</v>
      </c>
      <c r="D1" s="9" t="s">
        <v>1436</v>
      </c>
      <c r="E1" s="9" t="s">
        <v>68</v>
      </c>
      <c r="F1" s="60" t="s">
        <v>745</v>
      </c>
      <c r="G1" s="39" t="s">
        <v>767</v>
      </c>
      <c r="H1" s="122" t="s">
        <v>1065</v>
      </c>
      <c r="I1" s="61" t="s">
        <v>768</v>
      </c>
    </row>
    <row r="2" spans="1:9" ht="36.5" customHeight="1" x14ac:dyDescent="0.5">
      <c r="A2" s="16" t="s">
        <v>4</v>
      </c>
      <c r="B2" s="22" t="s">
        <v>252</v>
      </c>
      <c r="C2" s="4" t="s">
        <v>216</v>
      </c>
      <c r="D2" s="101" t="s">
        <v>1066</v>
      </c>
      <c r="E2" s="91" t="s">
        <v>1070</v>
      </c>
      <c r="F2" s="58" t="s">
        <v>746</v>
      </c>
      <c r="G2" s="58" t="s">
        <v>518</v>
      </c>
      <c r="H2" s="58"/>
      <c r="I2" s="198" t="s">
        <v>769</v>
      </c>
    </row>
    <row r="3" spans="1:9" x14ac:dyDescent="0.5">
      <c r="A3" s="63" t="s">
        <v>4</v>
      </c>
      <c r="B3" s="75" t="s">
        <v>253</v>
      </c>
      <c r="C3" t="s">
        <v>1610</v>
      </c>
      <c r="D3" s="101" t="s">
        <v>1067</v>
      </c>
      <c r="E3" s="123" t="s">
        <v>253</v>
      </c>
      <c r="F3" s="58" t="s">
        <v>746</v>
      </c>
      <c r="G3" s="124" t="s">
        <v>793</v>
      </c>
      <c r="H3" s="58"/>
      <c r="I3" s="198"/>
    </row>
    <row r="4" spans="1:9" x14ac:dyDescent="0.5">
      <c r="A4" s="63" t="s">
        <v>4</v>
      </c>
      <c r="B4" s="75" t="s">
        <v>254</v>
      </c>
      <c r="C4" t="s">
        <v>1610</v>
      </c>
      <c r="D4" s="101" t="s">
        <v>1068</v>
      </c>
      <c r="E4" s="123" t="s">
        <v>254</v>
      </c>
      <c r="F4" s="59" t="s">
        <v>746</v>
      </c>
      <c r="G4" s="124" t="s">
        <v>793</v>
      </c>
      <c r="H4" s="58"/>
      <c r="I4" s="198"/>
    </row>
    <row r="5" spans="1:9" x14ac:dyDescent="0.5">
      <c r="A5" s="63" t="s">
        <v>4</v>
      </c>
      <c r="B5" s="64" t="s">
        <v>255</v>
      </c>
      <c r="C5" t="s">
        <v>1610</v>
      </c>
      <c r="D5" s="101" t="s">
        <v>1069</v>
      </c>
      <c r="E5" s="88" t="s">
        <v>1071</v>
      </c>
      <c r="F5" s="65" t="s">
        <v>746</v>
      </c>
      <c r="G5" s="62" t="s">
        <v>518</v>
      </c>
      <c r="H5" s="58"/>
      <c r="I5" s="198"/>
    </row>
    <row r="6" spans="1:9" x14ac:dyDescent="0.5">
      <c r="A6" s="2" t="s">
        <v>4</v>
      </c>
      <c r="B6" s="22" t="s">
        <v>790</v>
      </c>
      <c r="C6" s="6"/>
      <c r="D6" s="104" t="s">
        <v>791</v>
      </c>
      <c r="E6" s="88" t="s">
        <v>790</v>
      </c>
      <c r="F6" s="58" t="s">
        <v>746</v>
      </c>
      <c r="G6" s="58" t="s">
        <v>518</v>
      </c>
      <c r="H6" s="58"/>
      <c r="I6" s="198"/>
    </row>
  </sheetData>
  <mergeCells count="1">
    <mergeCell ref="I2:I6"/>
  </mergeCells>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241A8-312E-4382-812E-5D23D9678517}">
  <sheetPr codeName="Sheet22"/>
  <dimension ref="A1:I11"/>
  <sheetViews>
    <sheetView zoomScale="91" workbookViewId="0">
      <selection activeCell="D1" sqref="D1"/>
    </sheetView>
  </sheetViews>
  <sheetFormatPr defaultRowHeight="14.35" x14ac:dyDescent="0.5"/>
  <cols>
    <col min="1" max="1" width="8.46875" customWidth="1"/>
    <col min="2" max="2" width="40.703125" customWidth="1"/>
    <col min="3" max="3" width="19.64453125" customWidth="1"/>
    <col min="4" max="5" width="31" customWidth="1"/>
    <col min="6" max="6" width="7.05859375" customWidth="1"/>
    <col min="7" max="7" width="17.52734375" customWidth="1"/>
    <col min="8" max="8" width="16.29296875" customWidth="1"/>
    <col min="9" max="9" width="27.05859375" customWidth="1"/>
  </cols>
  <sheetData>
    <row r="1" spans="1:9" x14ac:dyDescent="0.5">
      <c r="A1" s="7" t="s">
        <v>0</v>
      </c>
      <c r="B1" s="7" t="s">
        <v>1</v>
      </c>
      <c r="C1" s="7" t="s">
        <v>8</v>
      </c>
      <c r="D1" s="9" t="s">
        <v>1436</v>
      </c>
      <c r="E1" s="9" t="s">
        <v>68</v>
      </c>
      <c r="F1" s="60" t="s">
        <v>745</v>
      </c>
      <c r="G1" s="39" t="s">
        <v>767</v>
      </c>
      <c r="H1" s="122" t="s">
        <v>770</v>
      </c>
      <c r="I1" s="125" t="s">
        <v>768</v>
      </c>
    </row>
    <row r="2" spans="1:9" x14ac:dyDescent="0.5">
      <c r="A2" s="2" t="s">
        <v>4</v>
      </c>
      <c r="B2" s="22" t="s">
        <v>529</v>
      </c>
      <c r="C2" s="4" t="s">
        <v>216</v>
      </c>
      <c r="D2" s="8" t="s">
        <v>810</v>
      </c>
      <c r="E2" s="8" t="s">
        <v>1072</v>
      </c>
      <c r="F2" s="68" t="s">
        <v>746</v>
      </c>
      <c r="G2" s="68" t="s">
        <v>518</v>
      </c>
      <c r="H2" s="68"/>
      <c r="I2" s="198" t="s">
        <v>769</v>
      </c>
    </row>
    <row r="3" spans="1:9" x14ac:dyDescent="0.5">
      <c r="A3" s="2" t="s">
        <v>4</v>
      </c>
      <c r="B3" s="22" t="s">
        <v>794</v>
      </c>
      <c r="C3" s="6"/>
      <c r="D3" s="8" t="s">
        <v>802</v>
      </c>
      <c r="E3" s="66" t="s">
        <v>794</v>
      </c>
      <c r="F3" s="55" t="s">
        <v>746</v>
      </c>
      <c r="G3" s="55" t="s">
        <v>518</v>
      </c>
      <c r="H3" s="55"/>
      <c r="I3" s="198"/>
    </row>
    <row r="4" spans="1:9" x14ac:dyDescent="0.5">
      <c r="A4" s="2" t="s">
        <v>4</v>
      </c>
      <c r="B4" s="22" t="s">
        <v>795</v>
      </c>
      <c r="C4" s="6"/>
      <c r="D4" s="8" t="s">
        <v>803</v>
      </c>
      <c r="E4" s="66" t="s">
        <v>795</v>
      </c>
      <c r="F4" s="69" t="s">
        <v>746</v>
      </c>
      <c r="G4" s="69" t="s">
        <v>518</v>
      </c>
      <c r="H4" s="69"/>
      <c r="I4" s="198"/>
    </row>
    <row r="5" spans="1:9" x14ac:dyDescent="0.5">
      <c r="A5" s="2" t="s">
        <v>4</v>
      </c>
      <c r="B5" s="22" t="s">
        <v>796</v>
      </c>
      <c r="C5" s="6"/>
      <c r="D5" s="8" t="s">
        <v>804</v>
      </c>
      <c r="E5" s="66" t="s">
        <v>796</v>
      </c>
      <c r="F5" s="55" t="s">
        <v>746</v>
      </c>
      <c r="G5" s="55" t="s">
        <v>518</v>
      </c>
      <c r="H5" s="55"/>
      <c r="I5" s="198"/>
    </row>
    <row r="6" spans="1:9" x14ac:dyDescent="0.5">
      <c r="A6" s="2" t="s">
        <v>4</v>
      </c>
      <c r="B6" s="22" t="s">
        <v>797</v>
      </c>
      <c r="C6" s="6"/>
      <c r="D6" s="8" t="s">
        <v>805</v>
      </c>
      <c r="E6" s="66" t="s">
        <v>797</v>
      </c>
      <c r="F6" s="55" t="s">
        <v>746</v>
      </c>
      <c r="G6" s="55" t="s">
        <v>518</v>
      </c>
      <c r="H6" s="55"/>
      <c r="I6" s="198"/>
    </row>
    <row r="7" spans="1:9" x14ac:dyDescent="0.5">
      <c r="A7" s="2" t="s">
        <v>4</v>
      </c>
      <c r="B7" s="22" t="s">
        <v>798</v>
      </c>
      <c r="C7" s="6"/>
      <c r="D7" s="8" t="s">
        <v>806</v>
      </c>
      <c r="E7" s="66" t="s">
        <v>798</v>
      </c>
      <c r="F7" s="55" t="s">
        <v>746</v>
      </c>
      <c r="G7" s="55" t="s">
        <v>518</v>
      </c>
      <c r="H7" s="55"/>
      <c r="I7" s="198"/>
    </row>
    <row r="8" spans="1:9" x14ac:dyDescent="0.5">
      <c r="A8" s="2" t="s">
        <v>4</v>
      </c>
      <c r="B8" s="22" t="s">
        <v>799</v>
      </c>
      <c r="C8" s="6"/>
      <c r="D8" s="8" t="s">
        <v>807</v>
      </c>
      <c r="E8" s="66" t="s">
        <v>799</v>
      </c>
      <c r="F8" s="70" t="s">
        <v>746</v>
      </c>
      <c r="G8" s="69" t="s">
        <v>518</v>
      </c>
      <c r="H8" s="69"/>
      <c r="I8" s="198"/>
    </row>
    <row r="9" spans="1:9" x14ac:dyDescent="0.5">
      <c r="A9" s="2" t="s">
        <v>4</v>
      </c>
      <c r="B9" s="22" t="s">
        <v>800</v>
      </c>
      <c r="C9" s="6"/>
      <c r="D9" s="8" t="s">
        <v>808</v>
      </c>
      <c r="E9" s="66" t="s">
        <v>800</v>
      </c>
      <c r="F9" s="55" t="s">
        <v>746</v>
      </c>
      <c r="G9" s="55" t="s">
        <v>518</v>
      </c>
      <c r="H9" s="55"/>
      <c r="I9" s="198"/>
    </row>
    <row r="10" spans="1:9" x14ac:dyDescent="0.5">
      <c r="A10" s="2" t="s">
        <v>4</v>
      </c>
      <c r="B10" s="22" t="s">
        <v>801</v>
      </c>
      <c r="C10" s="6"/>
      <c r="D10" s="8" t="s">
        <v>809</v>
      </c>
      <c r="E10" s="66" t="s">
        <v>801</v>
      </c>
      <c r="F10" s="55" t="s">
        <v>746</v>
      </c>
      <c r="G10" s="55" t="s">
        <v>518</v>
      </c>
      <c r="H10" s="55"/>
      <c r="I10" s="198"/>
    </row>
    <row r="11" spans="1:9" x14ac:dyDescent="0.5">
      <c r="B11" s="67"/>
    </row>
  </sheetData>
  <mergeCells count="1">
    <mergeCell ref="I2:I1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70775-C66B-44BA-88FE-9435F28B68B6}">
  <sheetPr codeName="Sheet24"/>
  <dimension ref="A1:P37"/>
  <sheetViews>
    <sheetView topLeftCell="C1" zoomScale="95" zoomScaleNormal="95" workbookViewId="0">
      <selection activeCell="A4" sqref="A4:XFD4"/>
    </sheetView>
  </sheetViews>
  <sheetFormatPr defaultRowHeight="14.35" x14ac:dyDescent="0.5"/>
  <cols>
    <col min="1" max="1" width="14.46875" customWidth="1"/>
    <col min="2" max="2" width="74.17578125" customWidth="1"/>
    <col min="3" max="3" width="71" customWidth="1"/>
    <col min="4" max="6" width="30" customWidth="1"/>
    <col min="7" max="7" width="36.46875" customWidth="1"/>
    <col min="8" max="8" width="21.17578125" hidden="1" customWidth="1"/>
    <col min="9" max="9" width="27.17578125" customWidth="1"/>
    <col min="10" max="10" width="28.17578125" customWidth="1"/>
    <col min="11" max="11" width="29.3515625" customWidth="1"/>
    <col min="12" max="12" width="79.17578125" customWidth="1"/>
    <col min="14" max="14" width="18.29296875" customWidth="1"/>
    <col min="15" max="15" width="27.87890625" customWidth="1"/>
    <col min="16" max="16" width="34.29296875" customWidth="1"/>
  </cols>
  <sheetData>
    <row r="1" spans="1:16" ht="21.5" customHeight="1" x14ac:dyDescent="0.5">
      <c r="A1" s="9" t="s">
        <v>0</v>
      </c>
      <c r="B1" s="9" t="s">
        <v>1</v>
      </c>
      <c r="C1" s="9" t="s">
        <v>577</v>
      </c>
      <c r="D1" s="9" t="s">
        <v>3</v>
      </c>
      <c r="E1" s="9" t="s">
        <v>66</v>
      </c>
      <c r="F1" s="9" t="s">
        <v>262</v>
      </c>
      <c r="G1" s="9" t="s">
        <v>2</v>
      </c>
      <c r="H1" s="9" t="s">
        <v>3</v>
      </c>
      <c r="I1" s="9" t="s">
        <v>63</v>
      </c>
      <c r="J1" s="9" t="s">
        <v>1456</v>
      </c>
      <c r="K1" s="9" t="s">
        <v>1436</v>
      </c>
      <c r="L1" s="24" t="s">
        <v>68</v>
      </c>
      <c r="M1" s="129" t="s">
        <v>745</v>
      </c>
      <c r="N1" s="130" t="s">
        <v>767</v>
      </c>
      <c r="O1" s="128" t="s">
        <v>1065</v>
      </c>
      <c r="P1" s="125" t="s">
        <v>768</v>
      </c>
    </row>
    <row r="2" spans="1:16" x14ac:dyDescent="0.5">
      <c r="A2" s="2" t="s">
        <v>4</v>
      </c>
      <c r="B2" s="3" t="s">
        <v>122</v>
      </c>
      <c r="C2" s="6"/>
      <c r="D2" s="11" t="s">
        <v>1608</v>
      </c>
      <c r="E2" s="11" t="s">
        <v>1608</v>
      </c>
      <c r="F2" s="11" t="s">
        <v>1608</v>
      </c>
      <c r="G2" s="4" t="s">
        <v>1609</v>
      </c>
      <c r="H2" s="8"/>
      <c r="I2" s="6"/>
      <c r="J2" s="6"/>
      <c r="K2" s="37" t="s">
        <v>822</v>
      </c>
      <c r="L2" s="53" t="s">
        <v>1110</v>
      </c>
      <c r="M2" s="8" t="s">
        <v>746</v>
      </c>
      <c r="N2" s="8" t="s">
        <v>518</v>
      </c>
      <c r="O2" s="132" t="s">
        <v>1124</v>
      </c>
      <c r="P2" s="199" t="s">
        <v>841</v>
      </c>
    </row>
    <row r="3" spans="1:16" x14ac:dyDescent="0.5">
      <c r="A3" s="2" t="s">
        <v>4</v>
      </c>
      <c r="B3" s="3" t="s">
        <v>107</v>
      </c>
      <c r="C3" s="6"/>
      <c r="D3" s="11" t="s">
        <v>1608</v>
      </c>
      <c r="E3" s="11" t="s">
        <v>1608</v>
      </c>
      <c r="F3" s="11" t="s">
        <v>1608</v>
      </c>
      <c r="G3" s="4" t="s">
        <v>1609</v>
      </c>
      <c r="H3" s="8"/>
      <c r="I3" s="6"/>
      <c r="J3" s="6"/>
      <c r="K3" s="37" t="s">
        <v>823</v>
      </c>
      <c r="L3" s="53" t="s">
        <v>1111</v>
      </c>
      <c r="M3" s="8" t="s">
        <v>746</v>
      </c>
      <c r="N3" s="8" t="s">
        <v>518</v>
      </c>
      <c r="O3" s="132" t="s">
        <v>1125</v>
      </c>
      <c r="P3" s="199"/>
    </row>
    <row r="4" spans="1:16" x14ac:dyDescent="0.5">
      <c r="A4" s="2" t="s">
        <v>4</v>
      </c>
      <c r="B4" s="3" t="s">
        <v>62</v>
      </c>
      <c r="C4" s="6"/>
      <c r="D4" s="10"/>
      <c r="E4" s="10"/>
      <c r="F4" s="10"/>
      <c r="G4" s="4" t="s">
        <v>1609</v>
      </c>
      <c r="H4" s="8"/>
      <c r="I4" s="11" t="s">
        <v>67</v>
      </c>
      <c r="J4" s="6"/>
      <c r="K4" s="37" t="s">
        <v>824</v>
      </c>
      <c r="L4" s="53" t="s">
        <v>1112</v>
      </c>
      <c r="M4" s="8" t="s">
        <v>746</v>
      </c>
      <c r="N4" s="8" t="s">
        <v>518</v>
      </c>
      <c r="O4" s="132" t="s">
        <v>1124</v>
      </c>
      <c r="P4" s="199"/>
    </row>
    <row r="5" spans="1:16" x14ac:dyDescent="0.5">
      <c r="A5" s="2" t="s">
        <v>4</v>
      </c>
      <c r="B5" s="3" t="s">
        <v>64</v>
      </c>
      <c r="C5" s="6"/>
      <c r="D5" s="11" t="s">
        <v>1608</v>
      </c>
      <c r="E5" s="10"/>
      <c r="F5" s="10"/>
      <c r="G5" s="4" t="s">
        <v>1609</v>
      </c>
      <c r="H5" s="8"/>
      <c r="I5" s="10"/>
      <c r="J5" s="10"/>
      <c r="K5" s="37" t="s">
        <v>825</v>
      </c>
      <c r="L5" s="53" t="s">
        <v>1113</v>
      </c>
      <c r="M5" s="8" t="s">
        <v>746</v>
      </c>
      <c r="N5" s="8" t="s">
        <v>518</v>
      </c>
      <c r="O5" s="8"/>
      <c r="P5" s="199"/>
    </row>
    <row r="6" spans="1:16" x14ac:dyDescent="0.5">
      <c r="A6" s="2" t="s">
        <v>4</v>
      </c>
      <c r="B6" s="3" t="s">
        <v>65</v>
      </c>
      <c r="C6" s="6"/>
      <c r="D6" s="11" t="s">
        <v>1608</v>
      </c>
      <c r="E6" s="10"/>
      <c r="F6" s="10"/>
      <c r="G6" s="4" t="s">
        <v>1609</v>
      </c>
      <c r="H6" s="8"/>
      <c r="I6" s="6"/>
      <c r="J6" s="10"/>
      <c r="K6" s="8" t="s">
        <v>1092</v>
      </c>
      <c r="L6" s="53" t="s">
        <v>1114</v>
      </c>
      <c r="M6" s="8" t="s">
        <v>746</v>
      </c>
      <c r="N6" s="8" t="s">
        <v>518</v>
      </c>
      <c r="O6" s="131" t="s">
        <v>1124</v>
      </c>
      <c r="P6" s="199"/>
    </row>
    <row r="7" spans="1:16" x14ac:dyDescent="0.5">
      <c r="A7" s="2" t="s">
        <v>4</v>
      </c>
      <c r="B7" s="3" t="s">
        <v>70</v>
      </c>
      <c r="C7" s="6"/>
      <c r="D7" s="6"/>
      <c r="E7" s="6"/>
      <c r="F7" s="6"/>
      <c r="G7" s="6"/>
      <c r="H7" s="8"/>
      <c r="I7" s="6"/>
      <c r="J7" s="4" t="s">
        <v>216</v>
      </c>
      <c r="K7" s="8" t="s">
        <v>1079</v>
      </c>
      <c r="L7" s="53" t="s">
        <v>1115</v>
      </c>
      <c r="M7" s="8" t="s">
        <v>746</v>
      </c>
      <c r="N7" s="8" t="s">
        <v>518</v>
      </c>
      <c r="O7" s="8"/>
      <c r="P7" s="199"/>
    </row>
    <row r="8" spans="1:16" x14ac:dyDescent="0.5">
      <c r="A8" s="2" t="s">
        <v>4</v>
      </c>
      <c r="B8" s="3" t="s">
        <v>71</v>
      </c>
      <c r="C8" s="6"/>
      <c r="D8" s="6"/>
      <c r="E8" s="6"/>
      <c r="F8" s="6"/>
      <c r="G8" s="6"/>
      <c r="H8" s="8"/>
      <c r="I8" s="6"/>
      <c r="J8" s="4" t="s">
        <v>216</v>
      </c>
      <c r="K8" s="8" t="s">
        <v>1081</v>
      </c>
      <c r="L8" s="53" t="s">
        <v>1116</v>
      </c>
      <c r="M8" s="8" t="s">
        <v>746</v>
      </c>
      <c r="N8" s="8" t="s">
        <v>518</v>
      </c>
      <c r="O8" s="8"/>
      <c r="P8" s="199"/>
    </row>
    <row r="9" spans="1:16" x14ac:dyDescent="0.5">
      <c r="A9" s="2" t="s">
        <v>4</v>
      </c>
      <c r="B9" s="3" t="s">
        <v>106</v>
      </c>
      <c r="C9" s="6"/>
      <c r="D9" s="6"/>
      <c r="E9" s="6"/>
      <c r="F9" s="6"/>
      <c r="G9" s="6"/>
      <c r="H9" s="8"/>
      <c r="I9" s="6"/>
      <c r="J9" s="4" t="s">
        <v>694</v>
      </c>
      <c r="K9" s="37" t="s">
        <v>821</v>
      </c>
      <c r="L9" s="53" t="s">
        <v>1117</v>
      </c>
      <c r="M9" s="8" t="s">
        <v>746</v>
      </c>
      <c r="N9" s="8" t="s">
        <v>518</v>
      </c>
      <c r="O9" s="8"/>
      <c r="P9" s="199"/>
    </row>
    <row r="10" spans="1:16" x14ac:dyDescent="0.5">
      <c r="A10" s="2" t="s">
        <v>4</v>
      </c>
      <c r="B10" s="3" t="s">
        <v>121</v>
      </c>
      <c r="C10" s="6"/>
      <c r="D10" s="6"/>
      <c r="E10" s="6"/>
      <c r="F10" s="6"/>
      <c r="G10" s="6"/>
      <c r="H10" s="8"/>
      <c r="I10" s="6"/>
      <c r="J10" s="4" t="s">
        <v>694</v>
      </c>
      <c r="K10" s="8" t="s">
        <v>1075</v>
      </c>
      <c r="L10" s="53" t="s">
        <v>1118</v>
      </c>
      <c r="M10" s="8" t="s">
        <v>746</v>
      </c>
      <c r="N10" s="8" t="s">
        <v>518</v>
      </c>
      <c r="O10" s="131" t="s">
        <v>1126</v>
      </c>
      <c r="P10" s="199"/>
    </row>
    <row r="11" spans="1:16" x14ac:dyDescent="0.5">
      <c r="A11" s="2" t="s">
        <v>4</v>
      </c>
      <c r="B11" s="3" t="s">
        <v>108</v>
      </c>
      <c r="C11" s="6"/>
      <c r="D11" s="6"/>
      <c r="E11" s="6"/>
      <c r="F11" s="6"/>
      <c r="G11" s="4" t="s">
        <v>1609</v>
      </c>
      <c r="H11" s="8"/>
      <c r="I11" s="6"/>
      <c r="J11" s="6"/>
      <c r="K11" s="8" t="s">
        <v>1093</v>
      </c>
      <c r="L11" s="53" t="s">
        <v>1119</v>
      </c>
      <c r="M11" s="8" t="s">
        <v>746</v>
      </c>
      <c r="N11" s="8" t="s">
        <v>518</v>
      </c>
      <c r="O11" s="131" t="s">
        <v>1124</v>
      </c>
      <c r="P11" s="199"/>
    </row>
    <row r="12" spans="1:16" x14ac:dyDescent="0.5">
      <c r="A12" s="2" t="s">
        <v>4</v>
      </c>
      <c r="B12" s="3" t="s">
        <v>119</v>
      </c>
      <c r="C12" s="6"/>
      <c r="D12" s="6"/>
      <c r="E12" s="6"/>
      <c r="F12" s="6"/>
      <c r="G12" s="4" t="s">
        <v>1609</v>
      </c>
      <c r="H12" s="8"/>
      <c r="I12" s="6"/>
      <c r="J12" s="6"/>
      <c r="K12" s="8" t="s">
        <v>1094</v>
      </c>
      <c r="L12" s="51" t="s">
        <v>1120</v>
      </c>
      <c r="M12" s="8" t="s">
        <v>746</v>
      </c>
      <c r="N12" s="8" t="s">
        <v>518</v>
      </c>
      <c r="O12" s="8"/>
      <c r="P12" s="199"/>
    </row>
    <row r="13" spans="1:16" x14ac:dyDescent="0.5">
      <c r="A13" s="2" t="s">
        <v>4</v>
      </c>
      <c r="B13" s="3" t="s">
        <v>120</v>
      </c>
      <c r="C13" s="6"/>
      <c r="D13" s="6"/>
      <c r="E13" s="6"/>
      <c r="F13" s="6"/>
      <c r="G13" s="6"/>
      <c r="H13" s="8"/>
      <c r="I13" s="6"/>
      <c r="J13" s="4" t="s">
        <v>694</v>
      </c>
      <c r="K13" s="8" t="s">
        <v>1095</v>
      </c>
      <c r="L13" s="53" t="s">
        <v>1121</v>
      </c>
      <c r="M13" s="8" t="s">
        <v>746</v>
      </c>
      <c r="N13" s="8" t="s">
        <v>518</v>
      </c>
      <c r="O13" s="8"/>
      <c r="P13" s="199"/>
    </row>
    <row r="14" spans="1:16" x14ac:dyDescent="0.5">
      <c r="A14" s="2" t="s">
        <v>4</v>
      </c>
      <c r="B14" s="3" t="s">
        <v>263</v>
      </c>
      <c r="C14" s="6"/>
      <c r="D14" s="10"/>
      <c r="E14" s="10"/>
      <c r="F14" s="10"/>
      <c r="G14" s="4" t="s">
        <v>1609</v>
      </c>
      <c r="H14" s="8"/>
      <c r="I14" s="11" t="s">
        <v>67</v>
      </c>
      <c r="J14" s="4" t="s">
        <v>69</v>
      </c>
      <c r="K14" s="8" t="s">
        <v>1074</v>
      </c>
      <c r="L14" s="53" t="s">
        <v>1122</v>
      </c>
      <c r="M14" s="8" t="s">
        <v>746</v>
      </c>
      <c r="N14" s="8" t="s">
        <v>518</v>
      </c>
      <c r="O14" s="131" t="s">
        <v>1124</v>
      </c>
      <c r="P14" s="199"/>
    </row>
    <row r="15" spans="1:16" x14ac:dyDescent="0.5">
      <c r="A15" s="2" t="s">
        <v>4</v>
      </c>
      <c r="B15" s="127" t="s">
        <v>640</v>
      </c>
      <c r="C15" s="4" t="s">
        <v>641</v>
      </c>
      <c r="D15" s="6"/>
      <c r="E15" s="6"/>
      <c r="F15" s="10"/>
      <c r="G15" s="10"/>
      <c r="H15" s="4"/>
      <c r="I15" s="6"/>
      <c r="J15" s="6"/>
      <c r="K15" s="127" t="s">
        <v>1091</v>
      </c>
      <c r="L15" s="127" t="s">
        <v>1123</v>
      </c>
      <c r="M15" s="8" t="s">
        <v>746</v>
      </c>
      <c r="N15" s="8" t="s">
        <v>793</v>
      </c>
      <c r="O15" s="8"/>
      <c r="P15" s="199"/>
    </row>
    <row r="16" spans="1:16" x14ac:dyDescent="0.5">
      <c r="A16" s="2" t="s">
        <v>4</v>
      </c>
      <c r="B16" s="3" t="s">
        <v>818</v>
      </c>
      <c r="C16" s="6"/>
      <c r="D16" s="6"/>
      <c r="E16" s="6"/>
      <c r="F16" s="6"/>
      <c r="G16" s="6"/>
      <c r="H16" s="6"/>
      <c r="I16" s="6"/>
      <c r="J16" s="6"/>
      <c r="K16" s="37" t="s">
        <v>817</v>
      </c>
      <c r="L16" s="53" t="s">
        <v>818</v>
      </c>
      <c r="M16" s="8" t="s">
        <v>746</v>
      </c>
      <c r="N16" s="8" t="s">
        <v>518</v>
      </c>
      <c r="O16" s="8"/>
      <c r="P16" s="199"/>
    </row>
    <row r="17" spans="1:16" x14ac:dyDescent="0.5">
      <c r="A17" s="2" t="s">
        <v>4</v>
      </c>
      <c r="B17" s="3" t="s">
        <v>819</v>
      </c>
      <c r="C17" s="6"/>
      <c r="D17" s="6"/>
      <c r="E17" s="6"/>
      <c r="F17" s="6"/>
      <c r="G17" s="6"/>
      <c r="H17" s="6"/>
      <c r="I17" s="6"/>
      <c r="J17" s="6"/>
      <c r="K17" s="37" t="s">
        <v>820</v>
      </c>
      <c r="L17" s="53" t="s">
        <v>819</v>
      </c>
      <c r="M17" s="8" t="s">
        <v>746</v>
      </c>
      <c r="N17" s="8" t="s">
        <v>518</v>
      </c>
      <c r="O17" s="8"/>
      <c r="P17" s="199"/>
    </row>
    <row r="18" spans="1:16" x14ac:dyDescent="0.5">
      <c r="A18" s="2" t="s">
        <v>4</v>
      </c>
      <c r="B18" s="3" t="s">
        <v>1096</v>
      </c>
      <c r="C18" s="6"/>
      <c r="D18" s="6"/>
      <c r="E18" s="6"/>
      <c r="F18" s="6"/>
      <c r="G18" s="6"/>
      <c r="H18" s="6"/>
      <c r="I18" s="6"/>
      <c r="J18" s="6"/>
      <c r="K18" s="8" t="s">
        <v>1073</v>
      </c>
      <c r="L18" s="53" t="s">
        <v>1096</v>
      </c>
      <c r="M18" s="8" t="s">
        <v>746</v>
      </c>
      <c r="N18" s="8" t="s">
        <v>518</v>
      </c>
      <c r="O18" s="8"/>
      <c r="P18" s="199"/>
    </row>
    <row r="19" spans="1:16" x14ac:dyDescent="0.5">
      <c r="A19" s="2" t="s">
        <v>4</v>
      </c>
      <c r="B19" s="3" t="s">
        <v>1097</v>
      </c>
      <c r="C19" s="6"/>
      <c r="D19" s="6"/>
      <c r="E19" s="6"/>
      <c r="F19" s="6"/>
      <c r="G19" s="6"/>
      <c r="H19" s="6"/>
      <c r="I19" s="6"/>
      <c r="J19" s="6"/>
      <c r="K19" s="8" t="s">
        <v>1076</v>
      </c>
      <c r="L19" s="53" t="s">
        <v>1097</v>
      </c>
      <c r="M19" s="8" t="s">
        <v>746</v>
      </c>
      <c r="N19" s="8" t="s">
        <v>518</v>
      </c>
      <c r="O19" s="8"/>
      <c r="P19" s="199"/>
    </row>
    <row r="20" spans="1:16" x14ac:dyDescent="0.5">
      <c r="A20" s="2" t="s">
        <v>4</v>
      </c>
      <c r="B20" s="3" t="s">
        <v>1098</v>
      </c>
      <c r="C20" s="6"/>
      <c r="D20" s="6"/>
      <c r="E20" s="6"/>
      <c r="F20" s="6"/>
      <c r="G20" s="6"/>
      <c r="H20" s="6"/>
      <c r="I20" s="6"/>
      <c r="J20" s="6"/>
      <c r="K20" s="8" t="s">
        <v>1077</v>
      </c>
      <c r="L20" s="53" t="s">
        <v>1098</v>
      </c>
      <c r="M20" s="8" t="s">
        <v>746</v>
      </c>
      <c r="N20" s="8" t="s">
        <v>518</v>
      </c>
      <c r="O20" s="8"/>
      <c r="P20" s="199"/>
    </row>
    <row r="21" spans="1:16" x14ac:dyDescent="0.5">
      <c r="A21" s="2" t="s">
        <v>4</v>
      </c>
      <c r="B21" s="3" t="s">
        <v>1099</v>
      </c>
      <c r="C21" s="6"/>
      <c r="D21" s="6"/>
      <c r="E21" s="6"/>
      <c r="F21" s="6"/>
      <c r="G21" s="6"/>
      <c r="H21" s="6"/>
      <c r="I21" s="6"/>
      <c r="J21" s="6"/>
      <c r="K21" s="8" t="s">
        <v>1078</v>
      </c>
      <c r="L21" s="53" t="s">
        <v>1099</v>
      </c>
      <c r="M21" s="8" t="s">
        <v>746</v>
      </c>
      <c r="N21" s="8" t="s">
        <v>518</v>
      </c>
      <c r="O21" s="8"/>
      <c r="P21" s="199"/>
    </row>
    <row r="22" spans="1:16" x14ac:dyDescent="0.5">
      <c r="A22" s="2" t="s">
        <v>4</v>
      </c>
      <c r="B22" s="3" t="s">
        <v>1100</v>
      </c>
      <c r="C22" s="6"/>
      <c r="D22" s="6"/>
      <c r="E22" s="6"/>
      <c r="F22" s="6"/>
      <c r="G22" s="6"/>
      <c r="H22" s="6"/>
      <c r="I22" s="6"/>
      <c r="J22" s="6"/>
      <c r="K22" s="8" t="s">
        <v>1080</v>
      </c>
      <c r="L22" s="53" t="s">
        <v>1100</v>
      </c>
      <c r="M22" s="8" t="s">
        <v>746</v>
      </c>
      <c r="N22" s="8" t="s">
        <v>518</v>
      </c>
      <c r="O22" s="8"/>
      <c r="P22" s="199"/>
    </row>
    <row r="23" spans="1:16" x14ac:dyDescent="0.5">
      <c r="A23" s="2" t="s">
        <v>4</v>
      </c>
      <c r="B23" s="3" t="s">
        <v>1101</v>
      </c>
      <c r="C23" s="6"/>
      <c r="D23" s="6"/>
      <c r="E23" s="6"/>
      <c r="F23" s="6"/>
      <c r="G23" s="6"/>
      <c r="H23" s="6"/>
      <c r="I23" s="6"/>
      <c r="J23" s="6"/>
      <c r="K23" s="8" t="s">
        <v>1082</v>
      </c>
      <c r="L23" s="53" t="s">
        <v>1101</v>
      </c>
      <c r="M23" s="8" t="s">
        <v>746</v>
      </c>
      <c r="N23" s="8" t="s">
        <v>518</v>
      </c>
      <c r="O23" s="8"/>
      <c r="P23" s="199"/>
    </row>
    <row r="24" spans="1:16" ht="34.5" customHeight="1" x14ac:dyDescent="0.5">
      <c r="A24" s="2" t="s">
        <v>4</v>
      </c>
      <c r="B24" s="3" t="s">
        <v>1102</v>
      </c>
      <c r="C24" s="6"/>
      <c r="D24" s="6"/>
      <c r="E24" s="6"/>
      <c r="F24" s="6"/>
      <c r="G24" s="6"/>
      <c r="H24" s="6"/>
      <c r="I24" s="6"/>
      <c r="J24" s="6"/>
      <c r="K24" s="8" t="s">
        <v>1083</v>
      </c>
      <c r="L24" s="51" t="s">
        <v>1102</v>
      </c>
      <c r="M24" s="8" t="s">
        <v>746</v>
      </c>
      <c r="N24" s="8" t="s">
        <v>518</v>
      </c>
      <c r="O24" s="8"/>
      <c r="P24" s="199"/>
    </row>
    <row r="25" spans="1:16" x14ac:dyDescent="0.5">
      <c r="A25" s="2" t="s">
        <v>4</v>
      </c>
      <c r="B25" s="3" t="s">
        <v>1103</v>
      </c>
      <c r="C25" s="6"/>
      <c r="D25" s="6"/>
      <c r="E25" s="6"/>
      <c r="F25" s="6"/>
      <c r="G25" s="6"/>
      <c r="H25" s="6"/>
      <c r="I25" s="6"/>
      <c r="J25" s="6"/>
      <c r="K25" s="8" t="s">
        <v>1084</v>
      </c>
      <c r="L25" s="53" t="s">
        <v>1103</v>
      </c>
      <c r="M25" s="8" t="s">
        <v>746</v>
      </c>
      <c r="N25" s="8" t="s">
        <v>518</v>
      </c>
      <c r="O25" s="8"/>
      <c r="P25" s="199"/>
    </row>
    <row r="26" spans="1:16" x14ac:dyDescent="0.5">
      <c r="A26" s="2" t="s">
        <v>4</v>
      </c>
      <c r="B26" s="3" t="s">
        <v>1104</v>
      </c>
      <c r="C26" s="6"/>
      <c r="D26" s="6"/>
      <c r="E26" s="6"/>
      <c r="F26" s="6"/>
      <c r="G26" s="6"/>
      <c r="H26" s="6"/>
      <c r="I26" s="6"/>
      <c r="J26" s="6"/>
      <c r="K26" s="8" t="s">
        <v>1085</v>
      </c>
      <c r="L26" s="126" t="s">
        <v>1104</v>
      </c>
      <c r="M26" s="8" t="s">
        <v>746</v>
      </c>
      <c r="N26" s="8" t="s">
        <v>518</v>
      </c>
      <c r="O26" s="8"/>
      <c r="P26" s="199"/>
    </row>
    <row r="27" spans="1:16" x14ac:dyDescent="0.5">
      <c r="A27" s="2" t="s">
        <v>4</v>
      </c>
      <c r="B27" s="3" t="s">
        <v>1105</v>
      </c>
      <c r="C27" s="6"/>
      <c r="D27" s="6"/>
      <c r="E27" s="6"/>
      <c r="F27" s="6"/>
      <c r="G27" s="6"/>
      <c r="H27" s="6"/>
      <c r="I27" s="6"/>
      <c r="J27" s="6"/>
      <c r="K27" s="8" t="s">
        <v>1086</v>
      </c>
      <c r="L27" s="126" t="s">
        <v>1105</v>
      </c>
      <c r="M27" s="8" t="s">
        <v>746</v>
      </c>
      <c r="N27" s="8" t="s">
        <v>518</v>
      </c>
      <c r="O27" s="133" t="s">
        <v>1127</v>
      </c>
      <c r="P27" s="199"/>
    </row>
    <row r="28" spans="1:16" x14ac:dyDescent="0.5">
      <c r="A28" s="2" t="s">
        <v>4</v>
      </c>
      <c r="B28" s="3" t="s">
        <v>1106</v>
      </c>
      <c r="C28" s="6"/>
      <c r="D28" s="6"/>
      <c r="E28" s="6"/>
      <c r="F28" s="6"/>
      <c r="G28" s="6"/>
      <c r="H28" s="6"/>
      <c r="I28" s="6"/>
      <c r="J28" s="6"/>
      <c r="K28" s="8" t="s">
        <v>1087</v>
      </c>
      <c r="L28" s="126" t="s">
        <v>1106</v>
      </c>
      <c r="M28" s="8" t="s">
        <v>746</v>
      </c>
      <c r="N28" s="8" t="s">
        <v>518</v>
      </c>
      <c r="O28" s="133" t="s">
        <v>1128</v>
      </c>
      <c r="P28" s="199"/>
    </row>
    <row r="29" spans="1:16" x14ac:dyDescent="0.5">
      <c r="A29" s="2" t="s">
        <v>4</v>
      </c>
      <c r="B29" s="3" t="s">
        <v>1107</v>
      </c>
      <c r="C29" s="6"/>
      <c r="D29" s="6"/>
      <c r="E29" s="6"/>
      <c r="F29" s="6"/>
      <c r="G29" s="6"/>
      <c r="H29" s="6"/>
      <c r="I29" s="6"/>
      <c r="J29" s="6"/>
      <c r="K29" s="8" t="s">
        <v>1088</v>
      </c>
      <c r="L29" s="126" t="s">
        <v>1107</v>
      </c>
      <c r="M29" s="8" t="s">
        <v>746</v>
      </c>
      <c r="N29" s="8" t="s">
        <v>518</v>
      </c>
      <c r="O29" s="8"/>
      <c r="P29" s="199"/>
    </row>
    <row r="30" spans="1:16" x14ac:dyDescent="0.5">
      <c r="A30" s="2" t="s">
        <v>4</v>
      </c>
      <c r="B30" s="3" t="s">
        <v>1108</v>
      </c>
      <c r="C30" s="6"/>
      <c r="D30" s="6"/>
      <c r="E30" s="6"/>
      <c r="F30" s="6"/>
      <c r="G30" s="6"/>
      <c r="H30" s="6"/>
      <c r="I30" s="6"/>
      <c r="J30" s="6"/>
      <c r="K30" s="8" t="s">
        <v>1089</v>
      </c>
      <c r="L30" s="53" t="s">
        <v>1108</v>
      </c>
      <c r="M30" s="8" t="s">
        <v>746</v>
      </c>
      <c r="N30" s="8" t="s">
        <v>518</v>
      </c>
      <c r="O30" s="8"/>
      <c r="P30" s="199"/>
    </row>
    <row r="31" spans="1:16" x14ac:dyDescent="0.5">
      <c r="A31" s="2" t="s">
        <v>4</v>
      </c>
      <c r="B31" s="3" t="s">
        <v>1109</v>
      </c>
      <c r="C31" s="6"/>
      <c r="D31" s="6"/>
      <c r="E31" s="6"/>
      <c r="F31" s="6"/>
      <c r="G31" s="6"/>
      <c r="H31" s="6"/>
      <c r="I31" s="6"/>
      <c r="J31" s="6"/>
      <c r="K31" s="8" t="s">
        <v>1090</v>
      </c>
      <c r="L31" s="53" t="s">
        <v>1109</v>
      </c>
      <c r="M31" s="8" t="s">
        <v>746</v>
      </c>
      <c r="N31" s="8" t="s">
        <v>518</v>
      </c>
      <c r="O31" s="8"/>
      <c r="P31" s="199"/>
    </row>
    <row r="37" spans="1:2" x14ac:dyDescent="0.5">
      <c r="A37" s="23" t="s">
        <v>264</v>
      </c>
      <c r="B37" s="8" t="s">
        <v>1455</v>
      </c>
    </row>
  </sheetData>
  <mergeCells count="1">
    <mergeCell ref="P2:P31"/>
  </mergeCells>
  <hyperlinks>
    <hyperlink ref="I4" r:id="rId1" xr:uid="{AC444DAF-A44C-416C-B5B0-42F27E8A65D2}"/>
    <hyperlink ref="I14" r:id="rId2" xr:uid="{AEB25D52-E275-4E2C-BB75-88856F74B8A2}"/>
    <hyperlink ref="F2" r:id="rId3" xr:uid="{248E6548-AF98-4E2E-809D-15295DFF0039}"/>
    <hyperlink ref="E2" r:id="rId4" xr:uid="{6D8C11CB-09DE-4532-9FB6-70B525603D55}"/>
    <hyperlink ref="E3" r:id="rId5" xr:uid="{2D037A5D-0560-4785-97D3-67E60E942BC6}"/>
    <hyperlink ref="F3" r:id="rId6" xr:uid="{2597FEBC-8FC0-4316-A3AE-0923871D1121}"/>
    <hyperlink ref="D5" r:id="rId7" xr:uid="{C78815D0-7401-4A2A-87A6-F8DEA7303461}"/>
    <hyperlink ref="D6" r:id="rId8" xr:uid="{757CE105-0F46-42FA-92EE-C73C94D85522}"/>
    <hyperlink ref="D2" r:id="rId9" xr:uid="{3766BA0B-5239-4F8A-AFE7-635D2C201543}"/>
    <hyperlink ref="D3" r:id="rId10" xr:uid="{C3689762-0460-476D-80B0-B07073EE48E5}"/>
  </hyperlinks>
  <pageMargins left="0.7" right="0.7" top="0.75" bottom="0.75" header="0.3" footer="0.3"/>
  <pageSetup orientation="portrait" horizontalDpi="1200" verticalDpi="1200" r:id="rId11"/>
  <headerFooter alignWithMargins="0"/>
  <legacyDrawing r:id="rId1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A7AF5-9D68-4CDF-BBFF-036DA5DE7475}">
  <sheetPr codeName="Sheet25"/>
  <dimension ref="A1:I2"/>
  <sheetViews>
    <sheetView zoomScale="89" workbookViewId="0">
      <selection activeCell="E6" sqref="E6"/>
    </sheetView>
  </sheetViews>
  <sheetFormatPr defaultRowHeight="14.35" x14ac:dyDescent="0.5"/>
  <cols>
    <col min="1" max="1" width="15.17578125" customWidth="1"/>
    <col min="2" max="2" width="22.17578125" customWidth="1"/>
    <col min="3" max="3" width="6.29296875" customWidth="1"/>
    <col min="4" max="4" width="23.8203125" customWidth="1"/>
    <col min="5" max="5" width="50" customWidth="1"/>
    <col min="6" max="6" width="5.17578125" customWidth="1"/>
    <col min="7" max="7" width="16.8203125" customWidth="1"/>
    <col min="8" max="8" width="18.29296875" customWidth="1"/>
    <col min="9" max="9" width="23.52734375" customWidth="1"/>
  </cols>
  <sheetData>
    <row r="1" spans="1:9" x14ac:dyDescent="0.5">
      <c r="A1" s="7" t="s">
        <v>0</v>
      </c>
      <c r="B1" s="7" t="s">
        <v>1</v>
      </c>
      <c r="C1" s="7" t="s">
        <v>8</v>
      </c>
      <c r="D1" s="9" t="s">
        <v>1436</v>
      </c>
      <c r="E1" s="26" t="s">
        <v>68</v>
      </c>
      <c r="F1" s="129" t="s">
        <v>745</v>
      </c>
      <c r="G1" s="130" t="s">
        <v>767</v>
      </c>
      <c r="H1" s="128" t="s">
        <v>1065</v>
      </c>
      <c r="I1" s="135" t="s">
        <v>768</v>
      </c>
    </row>
    <row r="2" spans="1:9" x14ac:dyDescent="0.5">
      <c r="A2" s="2" t="s">
        <v>4</v>
      </c>
      <c r="B2" s="3" t="s">
        <v>1130</v>
      </c>
      <c r="C2" s="19"/>
      <c r="D2" s="8" t="s">
        <v>1129</v>
      </c>
      <c r="E2" s="8" t="s">
        <v>1131</v>
      </c>
      <c r="F2" s="45" t="s">
        <v>746</v>
      </c>
      <c r="G2" s="45" t="s">
        <v>518</v>
      </c>
      <c r="H2" s="8"/>
      <c r="I2" s="8"/>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78A5-6D5C-45C8-BB66-9CD9CBEC1031}">
  <sheetPr codeName="Sheet26"/>
  <dimension ref="A1:J2"/>
  <sheetViews>
    <sheetView workbookViewId="0">
      <selection activeCell="D2" sqref="D2"/>
    </sheetView>
  </sheetViews>
  <sheetFormatPr defaultRowHeight="14.35" x14ac:dyDescent="0.5"/>
  <cols>
    <col min="1" max="1" width="13.52734375" customWidth="1"/>
    <col min="2" max="2" width="15.29296875" customWidth="1"/>
    <col min="5" max="5" width="19.05859375" customWidth="1"/>
    <col min="6" max="6" width="15.8203125" customWidth="1"/>
    <col min="8" max="8" width="14.46875" customWidth="1"/>
    <col min="10" max="10" width="23.64453125" customWidth="1"/>
  </cols>
  <sheetData>
    <row r="1" spans="1:10" x14ac:dyDescent="0.5">
      <c r="A1" s="9" t="s">
        <v>0</v>
      </c>
      <c r="B1" s="9" t="s">
        <v>1</v>
      </c>
      <c r="C1" s="9" t="s">
        <v>534</v>
      </c>
      <c r="D1" s="9" t="s">
        <v>26</v>
      </c>
      <c r="E1" s="9" t="s">
        <v>1436</v>
      </c>
      <c r="F1" s="26" t="s">
        <v>68</v>
      </c>
      <c r="G1" s="129" t="s">
        <v>745</v>
      </c>
      <c r="H1" s="130" t="s">
        <v>767</v>
      </c>
      <c r="I1" s="128" t="s">
        <v>1065</v>
      </c>
      <c r="J1" s="135" t="s">
        <v>768</v>
      </c>
    </row>
    <row r="2" spans="1:10" x14ac:dyDescent="0.5">
      <c r="A2" s="2" t="s">
        <v>4</v>
      </c>
      <c r="B2" s="3" t="s">
        <v>535</v>
      </c>
      <c r="C2" s="4" t="s">
        <v>216</v>
      </c>
      <c r="D2" s="4" t="s">
        <v>702</v>
      </c>
      <c r="E2" s="37" t="s">
        <v>1132</v>
      </c>
      <c r="F2" s="37" t="s">
        <v>536</v>
      </c>
      <c r="G2" s="8" t="s">
        <v>746</v>
      </c>
      <c r="H2" s="8" t="s">
        <v>518</v>
      </c>
      <c r="I2" s="8"/>
      <c r="J2" s="136" t="s">
        <v>1133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53B8C-B7C8-4A6C-9BD8-0763DE3A9641}">
  <sheetPr codeName="Sheet27"/>
  <dimension ref="A1:L2"/>
  <sheetViews>
    <sheetView zoomScale="71" workbookViewId="0">
      <selection activeCell="G6" sqref="G6"/>
    </sheetView>
  </sheetViews>
  <sheetFormatPr defaultRowHeight="14.35" x14ac:dyDescent="0.5"/>
  <cols>
    <col min="1" max="1" width="14.46875" customWidth="1"/>
    <col min="2" max="2" width="34.52734375" customWidth="1"/>
    <col min="3" max="3" width="13.52734375" customWidth="1"/>
    <col min="4" max="5" width="10.29296875" customWidth="1"/>
    <col min="6" max="6" width="15.8203125" customWidth="1"/>
    <col min="7" max="7" width="18.17578125" customWidth="1"/>
    <col min="8" max="8" width="33.87890625" customWidth="1"/>
    <col min="10" max="10" width="15.703125" customWidth="1"/>
    <col min="12" max="12" width="54.17578125" customWidth="1"/>
  </cols>
  <sheetData>
    <row r="1" spans="1:12" x14ac:dyDescent="0.5">
      <c r="A1" s="9" t="s">
        <v>0</v>
      </c>
      <c r="B1" s="9" t="s">
        <v>1</v>
      </c>
      <c r="C1" s="9" t="s">
        <v>155</v>
      </c>
      <c r="D1" s="9" t="s">
        <v>2</v>
      </c>
      <c r="E1" s="9" t="s">
        <v>3</v>
      </c>
      <c r="F1" s="24" t="s">
        <v>359</v>
      </c>
      <c r="G1" s="26" t="s">
        <v>1436</v>
      </c>
      <c r="H1" s="26" t="s">
        <v>68</v>
      </c>
      <c r="I1" s="129" t="s">
        <v>745</v>
      </c>
      <c r="J1" s="130" t="s">
        <v>767</v>
      </c>
      <c r="K1" s="128" t="s">
        <v>1065</v>
      </c>
      <c r="L1" s="135" t="s">
        <v>768</v>
      </c>
    </row>
    <row r="2" spans="1:12" x14ac:dyDescent="0.5">
      <c r="A2" s="2" t="s">
        <v>4</v>
      </c>
      <c r="B2" s="3" t="s">
        <v>367</v>
      </c>
      <c r="C2" s="4" t="s">
        <v>360</v>
      </c>
      <c r="D2" s="4" t="s">
        <v>361</v>
      </c>
      <c r="E2" s="4" t="s">
        <v>362</v>
      </c>
      <c r="F2" s="4" t="s">
        <v>1593</v>
      </c>
      <c r="G2" s="37" t="s">
        <v>1134</v>
      </c>
      <c r="H2" s="37" t="s">
        <v>367</v>
      </c>
      <c r="I2" s="8" t="s">
        <v>792</v>
      </c>
      <c r="J2" s="8" t="s">
        <v>518</v>
      </c>
      <c r="K2" s="8"/>
      <c r="L2" s="8" t="s">
        <v>853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F2CD8-B2F3-4843-B2B7-9F06A2F488A8}">
  <sheetPr codeName="Sheet28"/>
  <dimension ref="A1:M8"/>
  <sheetViews>
    <sheetView zoomScale="81" workbookViewId="0">
      <selection activeCell="H1" sqref="H1"/>
    </sheetView>
  </sheetViews>
  <sheetFormatPr defaultRowHeight="14.35" x14ac:dyDescent="0.5"/>
  <cols>
    <col min="1" max="1" width="14.703125" customWidth="1"/>
    <col min="2" max="2" width="30.64453125" customWidth="1"/>
    <col min="3" max="3" width="14.52734375" customWidth="1"/>
    <col min="4" max="4" width="19.17578125" customWidth="1"/>
    <col min="8" max="8" width="24.29296875" customWidth="1"/>
    <col min="9" max="9" width="43.64453125" customWidth="1"/>
    <col min="11" max="11" width="16" customWidth="1"/>
    <col min="12" max="12" width="20" customWidth="1"/>
    <col min="13" max="13" width="23.87890625" customWidth="1"/>
    <col min="16" max="16" width="45.8203125" customWidth="1"/>
  </cols>
  <sheetData>
    <row r="1" spans="1:13" x14ac:dyDescent="0.5">
      <c r="A1" s="7" t="s">
        <v>0</v>
      </c>
      <c r="B1" s="7" t="s">
        <v>1</v>
      </c>
      <c r="C1" s="7" t="s">
        <v>368</v>
      </c>
      <c r="D1" s="7" t="s">
        <v>722</v>
      </c>
      <c r="E1" s="7" t="s">
        <v>8</v>
      </c>
      <c r="F1" s="7" t="s">
        <v>248</v>
      </c>
      <c r="G1" s="7" t="s">
        <v>89</v>
      </c>
      <c r="H1" s="26" t="s">
        <v>1436</v>
      </c>
      <c r="I1" s="26" t="s">
        <v>68</v>
      </c>
      <c r="J1" s="129" t="s">
        <v>745</v>
      </c>
      <c r="K1" s="130" t="s">
        <v>767</v>
      </c>
      <c r="L1" s="128" t="s">
        <v>1065</v>
      </c>
      <c r="M1" s="135" t="s">
        <v>768</v>
      </c>
    </row>
    <row r="2" spans="1:13" x14ac:dyDescent="0.5">
      <c r="A2" s="2" t="s">
        <v>4</v>
      </c>
      <c r="B2" s="22" t="s">
        <v>369</v>
      </c>
      <c r="C2" s="4" t="s">
        <v>370</v>
      </c>
      <c r="D2" s="6"/>
      <c r="E2" s="6"/>
      <c r="F2" s="6"/>
      <c r="G2" s="6"/>
      <c r="H2" s="37" t="s">
        <v>1135</v>
      </c>
      <c r="I2" s="37" t="s">
        <v>369</v>
      </c>
      <c r="J2" s="45" t="s">
        <v>746</v>
      </c>
      <c r="K2" s="47" t="s">
        <v>518</v>
      </c>
      <c r="L2" s="8"/>
      <c r="M2" s="8"/>
    </row>
    <row r="3" spans="1:13" ht="25" customHeight="1" x14ac:dyDescent="0.5">
      <c r="A3" s="2" t="s">
        <v>4</v>
      </c>
      <c r="B3" s="22" t="s">
        <v>371</v>
      </c>
      <c r="C3" s="4" t="s">
        <v>370</v>
      </c>
      <c r="D3" s="6"/>
      <c r="E3" s="6"/>
      <c r="F3" s="6"/>
      <c r="G3" s="6"/>
      <c r="H3" s="37" t="s">
        <v>1136</v>
      </c>
      <c r="I3" s="37" t="s">
        <v>371</v>
      </c>
      <c r="J3" s="45" t="s">
        <v>746</v>
      </c>
      <c r="K3" s="47" t="s">
        <v>518</v>
      </c>
      <c r="L3" s="137" t="s">
        <v>1143</v>
      </c>
      <c r="M3" s="8"/>
    </row>
    <row r="4" spans="1:13" x14ac:dyDescent="0.5">
      <c r="A4" s="2" t="s">
        <v>4</v>
      </c>
      <c r="B4" s="22" t="s">
        <v>555</v>
      </c>
      <c r="C4" s="6"/>
      <c r="D4" s="4" t="s">
        <v>723</v>
      </c>
      <c r="E4" s="6"/>
      <c r="F4" s="6"/>
      <c r="G4" s="6"/>
      <c r="H4" s="37" t="s">
        <v>1137</v>
      </c>
      <c r="I4" s="37" t="s">
        <v>556</v>
      </c>
      <c r="J4" s="45" t="s">
        <v>746</v>
      </c>
      <c r="K4" s="47" t="s">
        <v>518</v>
      </c>
      <c r="L4" s="8"/>
      <c r="M4" s="8"/>
    </row>
    <row r="5" spans="1:13" x14ac:dyDescent="0.5">
      <c r="A5" s="2" t="s">
        <v>4</v>
      </c>
      <c r="B5" s="22" t="s">
        <v>557</v>
      </c>
      <c r="C5" s="6"/>
      <c r="D5" s="4" t="s">
        <v>723</v>
      </c>
      <c r="E5" s="6"/>
      <c r="F5" s="6"/>
      <c r="G5" s="6"/>
      <c r="H5" s="37" t="s">
        <v>1138</v>
      </c>
      <c r="I5" s="37" t="s">
        <v>558</v>
      </c>
      <c r="J5" s="45" t="s">
        <v>746</v>
      </c>
      <c r="K5" s="47" t="s">
        <v>518</v>
      </c>
      <c r="L5" s="8"/>
      <c r="M5" s="8"/>
    </row>
    <row r="6" spans="1:13" x14ac:dyDescent="0.5">
      <c r="A6" s="2" t="s">
        <v>4</v>
      </c>
      <c r="B6" s="22" t="s">
        <v>559</v>
      </c>
      <c r="C6" s="6"/>
      <c r="D6" s="4" t="s">
        <v>723</v>
      </c>
      <c r="E6" s="6"/>
      <c r="F6" s="6"/>
      <c r="G6" s="6"/>
      <c r="H6" s="37" t="s">
        <v>1139</v>
      </c>
      <c r="I6" s="37" t="s">
        <v>560</v>
      </c>
      <c r="J6" s="45" t="s">
        <v>746</v>
      </c>
      <c r="K6" s="47" t="s">
        <v>518</v>
      </c>
      <c r="L6" s="8"/>
      <c r="M6" s="8"/>
    </row>
    <row r="7" spans="1:13" x14ac:dyDescent="0.5">
      <c r="A7" s="2" t="s">
        <v>4</v>
      </c>
      <c r="B7" s="22" t="s">
        <v>561</v>
      </c>
      <c r="C7" s="6"/>
      <c r="D7" s="6"/>
      <c r="E7" s="6"/>
      <c r="F7" s="6"/>
      <c r="G7" s="4" t="s">
        <v>226</v>
      </c>
      <c r="H7" s="37" t="s">
        <v>1140</v>
      </c>
      <c r="I7" s="37" t="s">
        <v>562</v>
      </c>
      <c r="J7" s="45" t="s">
        <v>746</v>
      </c>
      <c r="K7" s="47" t="s">
        <v>518</v>
      </c>
      <c r="L7" s="8"/>
      <c r="M7" s="8"/>
    </row>
    <row r="8" spans="1:13" x14ac:dyDescent="0.5">
      <c r="A8" s="2" t="s">
        <v>4</v>
      </c>
      <c r="B8" s="22" t="s">
        <v>1142</v>
      </c>
      <c r="C8" s="6"/>
      <c r="D8" s="6"/>
      <c r="E8" s="6"/>
      <c r="F8" s="6"/>
      <c r="G8" s="6"/>
      <c r="H8" s="37" t="s">
        <v>1141</v>
      </c>
      <c r="I8" s="37" t="s">
        <v>1142</v>
      </c>
      <c r="J8" s="45" t="s">
        <v>746</v>
      </c>
      <c r="K8" s="47" t="s">
        <v>518</v>
      </c>
      <c r="L8" s="8"/>
      <c r="M8" s="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E2D81-66EF-403A-A549-FD61C3C53ECA}">
  <sheetPr codeName="Sheet29"/>
  <dimension ref="A1:I2"/>
  <sheetViews>
    <sheetView workbookViewId="0">
      <selection activeCell="D20" sqref="D20"/>
    </sheetView>
  </sheetViews>
  <sheetFormatPr defaultRowHeight="14.35" x14ac:dyDescent="0.5"/>
  <cols>
    <col min="2" max="2" width="50.52734375" bestFit="1" customWidth="1"/>
    <col min="4" max="4" width="26.17578125" customWidth="1"/>
    <col min="5" max="5" width="26.8203125" customWidth="1"/>
    <col min="7" max="7" width="16.3515625" customWidth="1"/>
    <col min="8" max="8" width="13.87890625" customWidth="1"/>
    <col min="9" max="9" width="27.703125" customWidth="1"/>
  </cols>
  <sheetData>
    <row r="1" spans="1:9" x14ac:dyDescent="0.5">
      <c r="A1" s="7" t="s">
        <v>0</v>
      </c>
      <c r="B1" s="7" t="s">
        <v>1</v>
      </c>
      <c r="C1" s="7" t="s">
        <v>368</v>
      </c>
      <c r="D1" s="26" t="s">
        <v>1436</v>
      </c>
      <c r="E1" s="26" t="s">
        <v>68</v>
      </c>
      <c r="F1" s="129" t="s">
        <v>745</v>
      </c>
      <c r="G1" s="130" t="s">
        <v>767</v>
      </c>
      <c r="H1" s="128" t="s">
        <v>1065</v>
      </c>
      <c r="I1" s="135" t="s">
        <v>768</v>
      </c>
    </row>
    <row r="2" spans="1:9" ht="22.5" customHeight="1" x14ac:dyDescent="0.5">
      <c r="A2" s="2" t="s">
        <v>4</v>
      </c>
      <c r="B2" s="22" t="s">
        <v>372</v>
      </c>
      <c r="C2" s="4" t="s">
        <v>373</v>
      </c>
      <c r="D2" s="37" t="s">
        <v>1145</v>
      </c>
      <c r="E2" s="111" t="s">
        <v>1144</v>
      </c>
      <c r="F2" s="8" t="s">
        <v>746</v>
      </c>
      <c r="G2" s="8" t="s">
        <v>518</v>
      </c>
      <c r="H2" s="8"/>
      <c r="I2" s="8"/>
    </row>
  </sheetData>
  <pageMargins left="0.7" right="0.7" top="0.75" bottom="0.75" header="0.3" footer="0.3"/>
  <pageSetup paperSize="9"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4"/>
  <sheetViews>
    <sheetView topLeftCell="B1" zoomScale="74" zoomScaleNormal="80" workbookViewId="0">
      <selection activeCell="D30" sqref="D30"/>
    </sheetView>
  </sheetViews>
  <sheetFormatPr defaultRowHeight="14.35" x14ac:dyDescent="0.5"/>
  <cols>
    <col min="1" max="1" width="15.17578125" customWidth="1"/>
    <col min="2" max="2" width="49.8203125" customWidth="1"/>
    <col min="3" max="3" width="27.52734375" customWidth="1"/>
    <col min="4" max="4" width="14.8203125" customWidth="1"/>
    <col min="5" max="5" width="13.64453125" customWidth="1"/>
    <col min="6" max="6" width="12.17578125" customWidth="1"/>
    <col min="7" max="7" width="14.05859375" customWidth="1"/>
    <col min="8" max="8" width="8.703125" customWidth="1"/>
    <col min="9" max="9" width="14.3515625" customWidth="1"/>
    <col min="10" max="10" width="10" customWidth="1"/>
    <col min="11" max="11" width="11.29296875" customWidth="1"/>
    <col min="12" max="12" width="13.703125" customWidth="1"/>
    <col min="13" max="13" width="12" customWidth="1"/>
    <col min="14" max="14" width="21.17578125" customWidth="1"/>
    <col min="15" max="15" width="47.87890625" customWidth="1"/>
    <col min="16" max="16" width="7.46875" customWidth="1"/>
    <col min="17" max="17" width="14" customWidth="1"/>
    <col min="18" max="18" width="11.29296875" customWidth="1"/>
    <col min="19" max="19" width="44.3515625" customWidth="1"/>
  </cols>
  <sheetData>
    <row r="1" spans="1:19" x14ac:dyDescent="0.5">
      <c r="A1" s="7" t="s">
        <v>0</v>
      </c>
      <c r="B1" s="7" t="s">
        <v>1</v>
      </c>
      <c r="C1" s="7" t="s">
        <v>8</v>
      </c>
      <c r="D1" s="7" t="s">
        <v>89</v>
      </c>
      <c r="E1" s="7" t="s">
        <v>90</v>
      </c>
      <c r="F1" s="7" t="s">
        <v>91</v>
      </c>
      <c r="G1" s="7" t="s">
        <v>95</v>
      </c>
      <c r="H1" s="7" t="s">
        <v>97</v>
      </c>
      <c r="I1" s="7" t="s">
        <v>92</v>
      </c>
      <c r="J1" s="7" t="s">
        <v>93</v>
      </c>
      <c r="K1" s="7" t="s">
        <v>94</v>
      </c>
      <c r="L1" s="7" t="s">
        <v>96</v>
      </c>
      <c r="M1" s="7" t="s">
        <v>98</v>
      </c>
      <c r="N1" s="26" t="s">
        <v>1436</v>
      </c>
      <c r="O1" s="26" t="s">
        <v>68</v>
      </c>
      <c r="P1" s="129" t="s">
        <v>745</v>
      </c>
      <c r="Q1" s="130" t="s">
        <v>767</v>
      </c>
      <c r="R1" s="128" t="s">
        <v>1065</v>
      </c>
      <c r="S1" s="135" t="s">
        <v>768</v>
      </c>
    </row>
    <row r="2" spans="1:19" x14ac:dyDescent="0.5">
      <c r="A2" s="2" t="s">
        <v>4</v>
      </c>
      <c r="B2" s="75" t="s">
        <v>99</v>
      </c>
      <c r="C2" s="4" t="s">
        <v>75</v>
      </c>
      <c r="D2" s="4" t="s">
        <v>226</v>
      </c>
      <c r="E2" s="4" t="s">
        <v>260</v>
      </c>
      <c r="F2" s="4" t="s">
        <v>397</v>
      </c>
      <c r="G2" s="4" t="s">
        <v>398</v>
      </c>
      <c r="H2" s="4" t="s">
        <v>399</v>
      </c>
      <c r="I2" s="5">
        <v>1</v>
      </c>
      <c r="J2" s="4" t="s">
        <v>400</v>
      </c>
      <c r="K2" s="4">
        <v>80</v>
      </c>
      <c r="L2" s="4" t="s">
        <v>401</v>
      </c>
      <c r="M2" s="4" t="s">
        <v>402</v>
      </c>
      <c r="N2" s="88" t="s">
        <v>1146</v>
      </c>
      <c r="O2" s="88" t="s">
        <v>1149</v>
      </c>
      <c r="P2" s="124" t="s">
        <v>746</v>
      </c>
      <c r="Q2" s="138" t="s">
        <v>793</v>
      </c>
      <c r="R2" s="8"/>
      <c r="S2" s="194" t="s">
        <v>853</v>
      </c>
    </row>
    <row r="3" spans="1:19" x14ac:dyDescent="0.5">
      <c r="A3" s="2" t="s">
        <v>4</v>
      </c>
      <c r="B3" s="75" t="s">
        <v>87</v>
      </c>
      <c r="C3" s="4" t="s">
        <v>216</v>
      </c>
      <c r="D3" s="4" t="s">
        <v>18</v>
      </c>
      <c r="E3" s="6"/>
      <c r="F3" s="6"/>
      <c r="G3" s="6"/>
      <c r="H3" s="6"/>
      <c r="I3" s="6"/>
      <c r="J3" s="6"/>
      <c r="K3" s="6"/>
      <c r="L3" s="6"/>
      <c r="M3" s="6"/>
      <c r="N3" s="88" t="s">
        <v>1147</v>
      </c>
      <c r="O3" s="88" t="s">
        <v>87</v>
      </c>
      <c r="P3" s="124" t="s">
        <v>746</v>
      </c>
      <c r="Q3" s="138" t="s">
        <v>793</v>
      </c>
      <c r="R3" s="8"/>
      <c r="S3" s="195"/>
    </row>
    <row r="4" spans="1:19" x14ac:dyDescent="0.5">
      <c r="A4" s="2" t="s">
        <v>4</v>
      </c>
      <c r="B4" s="75" t="s">
        <v>88</v>
      </c>
      <c r="C4" s="4" t="s">
        <v>75</v>
      </c>
      <c r="D4" s="6"/>
      <c r="E4" s="6"/>
      <c r="F4" s="6"/>
      <c r="G4" s="6"/>
      <c r="H4" s="6"/>
      <c r="I4" s="6"/>
      <c r="J4" s="6"/>
      <c r="K4" s="6"/>
      <c r="L4" s="6"/>
      <c r="M4" s="6"/>
      <c r="N4" s="88" t="s">
        <v>1148</v>
      </c>
      <c r="O4" s="88" t="s">
        <v>88</v>
      </c>
      <c r="P4" s="124" t="s">
        <v>746</v>
      </c>
      <c r="Q4" s="138" t="s">
        <v>793</v>
      </c>
      <c r="R4" s="8"/>
      <c r="S4" s="196"/>
    </row>
  </sheetData>
  <mergeCells count="1">
    <mergeCell ref="S2:S4"/>
  </mergeCells>
  <phoneticPr fontId="2" type="noConversion"/>
  <conditionalFormatting sqref="D2">
    <cfRule type="expression" dxfId="36" priority="2">
      <formula>LEN(D2)-LEN(SUBSTITUTE(D2,";","")) - ( LEN($C2)-LEN(SUBSTITUTE($C2,";","")))</formula>
    </cfRule>
  </conditionalFormatting>
  <conditionalFormatting sqref="D2:M4">
    <cfRule type="expression" dxfId="35" priority="1">
      <formula>LEN(D2)-LEN(SUBSTITUTE(D2,";","")) - ( LEN($C2)-LEN(SUBSTITUTE($C2,";","")))</formula>
    </cfRule>
  </conditionalFormatting>
  <pageMargins left="0.7" right="0.7" top="0.75" bottom="0.75" header="0.3" footer="0.3"/>
  <pageSetup orientation="portrait"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632F9-4802-4552-B4BD-B718BC4AEB8D}">
  <sheetPr codeName="Sheet23"/>
  <dimension ref="A1:AD67"/>
  <sheetViews>
    <sheetView topLeftCell="A16" zoomScale="54" zoomScaleNormal="54" workbookViewId="0">
      <selection activeCell="B16" sqref="B16"/>
    </sheetView>
  </sheetViews>
  <sheetFormatPr defaultRowHeight="14.35" x14ac:dyDescent="0.5"/>
  <cols>
    <col min="1" max="1" width="16.8203125" customWidth="1"/>
    <col min="2" max="2" width="59.29296875" customWidth="1"/>
    <col min="3" max="3" width="50" style="1" customWidth="1"/>
    <col min="4" max="4" width="114.17578125" customWidth="1"/>
    <col min="5" max="5" width="79.46875" customWidth="1"/>
    <col min="6" max="6" width="63.64453125" customWidth="1"/>
    <col min="7" max="7" width="66.52734375" customWidth="1"/>
    <col min="8" max="8" width="26" customWidth="1"/>
    <col min="9" max="9" width="40.46875" customWidth="1"/>
    <col min="10" max="10" width="20.17578125" customWidth="1"/>
    <col min="11" max="11" width="20.05859375" customWidth="1"/>
    <col min="12" max="12" width="21.05859375" customWidth="1"/>
    <col min="13" max="13" width="25.46875" customWidth="1"/>
    <col min="14" max="14" width="21.05859375" customWidth="1"/>
    <col min="15" max="15" width="28" customWidth="1"/>
    <col min="16" max="19" width="21.46875" customWidth="1"/>
    <col min="20" max="20" width="33.29296875" customWidth="1"/>
    <col min="21" max="22" width="21.46875" customWidth="1"/>
    <col min="23" max="23" width="26.87890625" customWidth="1"/>
    <col min="24" max="24" width="21.46875" customWidth="1"/>
    <col min="25" max="25" width="31.3515625" customWidth="1"/>
    <col min="26" max="26" width="70.3515625" customWidth="1"/>
    <col min="27" max="27" width="19.29296875" customWidth="1"/>
    <col min="28" max="28" width="25.29296875" customWidth="1"/>
    <col min="29" max="29" width="28.703125" customWidth="1"/>
    <col min="30" max="30" width="40.52734375" customWidth="1"/>
  </cols>
  <sheetData>
    <row r="1" spans="1:30" x14ac:dyDescent="0.5">
      <c r="A1" s="9" t="s">
        <v>0</v>
      </c>
      <c r="B1" s="9" t="s">
        <v>1</v>
      </c>
      <c r="C1" s="9" t="s">
        <v>9</v>
      </c>
      <c r="D1" s="9" t="s">
        <v>6</v>
      </c>
      <c r="E1" s="9" t="s">
        <v>123</v>
      </c>
      <c r="F1" s="9" t="s">
        <v>7</v>
      </c>
      <c r="G1" s="9" t="s">
        <v>124</v>
      </c>
      <c r="H1" s="9" t="s">
        <v>211</v>
      </c>
      <c r="I1" s="9" t="s">
        <v>212</v>
      </c>
      <c r="J1" s="9" t="s">
        <v>213</v>
      </c>
      <c r="K1" s="9" t="s">
        <v>214</v>
      </c>
      <c r="L1" s="9" t="s">
        <v>215</v>
      </c>
      <c r="M1" s="9" t="s">
        <v>454</v>
      </c>
      <c r="N1" s="9" t="s">
        <v>636</v>
      </c>
      <c r="O1" s="9" t="s">
        <v>419</v>
      </c>
      <c r="P1" s="9" t="s">
        <v>420</v>
      </c>
      <c r="Q1" s="9" t="s">
        <v>421</v>
      </c>
      <c r="R1" s="24" t="s">
        <v>422</v>
      </c>
      <c r="S1" s="24" t="s">
        <v>423</v>
      </c>
      <c r="T1" s="9" t="s">
        <v>424</v>
      </c>
      <c r="U1" s="9" t="s">
        <v>425</v>
      </c>
      <c r="V1" s="9" t="s">
        <v>426</v>
      </c>
      <c r="W1" s="9" t="s">
        <v>427</v>
      </c>
      <c r="X1" s="9" t="s">
        <v>428</v>
      </c>
      <c r="Y1" s="9" t="s">
        <v>1436</v>
      </c>
      <c r="Z1" s="151" t="s">
        <v>68</v>
      </c>
      <c r="AA1" s="9" t="s">
        <v>745</v>
      </c>
      <c r="AB1" s="9" t="s">
        <v>767</v>
      </c>
      <c r="AC1" s="9" t="s">
        <v>1065</v>
      </c>
      <c r="AD1" s="9" t="s">
        <v>768</v>
      </c>
    </row>
    <row r="2" spans="1:30" x14ac:dyDescent="0.5">
      <c r="A2" s="2" t="s">
        <v>4</v>
      </c>
      <c r="B2" s="3" t="s">
        <v>125</v>
      </c>
      <c r="C2" s="4" t="s">
        <v>1595</v>
      </c>
      <c r="D2" s="4" t="s">
        <v>1447</v>
      </c>
      <c r="E2" s="6"/>
      <c r="F2" s="4" t="s">
        <v>695</v>
      </c>
      <c r="G2" s="18" t="s">
        <v>217</v>
      </c>
      <c r="H2" s="6"/>
      <c r="I2" s="6"/>
      <c r="J2" s="6"/>
      <c r="K2" s="6"/>
      <c r="L2" s="6"/>
      <c r="M2" s="6"/>
      <c r="N2" s="6"/>
      <c r="O2" s="6"/>
      <c r="P2" s="6"/>
      <c r="Q2" s="6"/>
      <c r="R2" s="6"/>
      <c r="S2" s="6"/>
      <c r="T2" s="6"/>
      <c r="U2" s="6"/>
      <c r="V2" s="6"/>
      <c r="W2" s="6"/>
      <c r="X2" s="6"/>
      <c r="Y2" s="6" t="s">
        <v>1495</v>
      </c>
      <c r="Z2" s="146" t="s">
        <v>125</v>
      </c>
      <c r="AA2" s="8" t="s">
        <v>746</v>
      </c>
      <c r="AB2" s="37" t="s">
        <v>518</v>
      </c>
      <c r="AC2" s="8"/>
      <c r="AD2" s="190" t="s">
        <v>1335</v>
      </c>
    </row>
    <row r="3" spans="1:30" x14ac:dyDescent="0.5">
      <c r="A3" s="2" t="s">
        <v>4</v>
      </c>
      <c r="B3" s="3" t="s">
        <v>126</v>
      </c>
      <c r="C3" s="6"/>
      <c r="D3" s="4" t="s">
        <v>1447</v>
      </c>
      <c r="E3" s="6"/>
      <c r="F3" s="18" t="s">
        <v>1449</v>
      </c>
      <c r="G3" s="18" t="s">
        <v>697</v>
      </c>
      <c r="H3" s="6"/>
      <c r="I3" s="6"/>
      <c r="J3" s="6"/>
      <c r="K3" s="6"/>
      <c r="L3" s="6"/>
      <c r="M3" s="6"/>
      <c r="N3" s="6"/>
      <c r="O3" s="6"/>
      <c r="P3" s="6"/>
      <c r="Q3" s="6"/>
      <c r="R3" s="6"/>
      <c r="S3" s="6"/>
      <c r="T3" s="6"/>
      <c r="U3" s="6"/>
      <c r="V3" s="6"/>
      <c r="W3" s="6"/>
      <c r="X3" s="6"/>
      <c r="Y3" s="6" t="s">
        <v>1496</v>
      </c>
      <c r="Z3" s="146" t="s">
        <v>126</v>
      </c>
      <c r="AA3" s="8" t="s">
        <v>746</v>
      </c>
      <c r="AB3" s="37" t="s">
        <v>518</v>
      </c>
      <c r="AC3" s="8"/>
      <c r="AD3" s="190"/>
    </row>
    <row r="4" spans="1:30" x14ac:dyDescent="0.5">
      <c r="A4" s="2" t="s">
        <v>4</v>
      </c>
      <c r="B4" s="3" t="s">
        <v>127</v>
      </c>
      <c r="C4" s="6"/>
      <c r="D4" s="4" t="s">
        <v>1447</v>
      </c>
      <c r="E4" s="6"/>
      <c r="F4" s="6"/>
      <c r="G4" s="6"/>
      <c r="H4" s="6"/>
      <c r="I4" s="6"/>
      <c r="J4" s="6"/>
      <c r="K4" s="6"/>
      <c r="L4" s="6"/>
      <c r="M4" s="6"/>
      <c r="N4" s="6"/>
      <c r="O4" s="6"/>
      <c r="P4" s="6"/>
      <c r="Q4" s="6"/>
      <c r="R4" s="6"/>
      <c r="S4" s="6"/>
      <c r="T4" s="6"/>
      <c r="U4" s="6"/>
      <c r="V4" s="6"/>
      <c r="W4" s="6"/>
      <c r="X4" s="6"/>
      <c r="Y4" s="6" t="s">
        <v>1497</v>
      </c>
      <c r="Z4" s="146" t="s">
        <v>127</v>
      </c>
      <c r="AA4" s="8" t="s">
        <v>746</v>
      </c>
      <c r="AB4" s="37" t="s">
        <v>518</v>
      </c>
      <c r="AC4" s="114" t="s">
        <v>1321</v>
      </c>
      <c r="AD4" s="199"/>
    </row>
    <row r="5" spans="1:30" x14ac:dyDescent="0.5">
      <c r="A5" s="2" t="s">
        <v>4</v>
      </c>
      <c r="B5" s="3" t="s">
        <v>128</v>
      </c>
      <c r="C5" s="6"/>
      <c r="D5" s="4" t="s">
        <v>1447</v>
      </c>
      <c r="E5" s="4" t="s">
        <v>1450</v>
      </c>
      <c r="F5" s="4" t="s">
        <v>695</v>
      </c>
      <c r="G5" s="6"/>
      <c r="H5" s="6"/>
      <c r="I5" s="6"/>
      <c r="J5" s="6"/>
      <c r="K5" s="6"/>
      <c r="L5" s="6"/>
      <c r="M5" s="6"/>
      <c r="N5" s="6"/>
      <c r="O5" s="6"/>
      <c r="P5" s="6"/>
      <c r="Q5" s="6"/>
      <c r="R5" s="6"/>
      <c r="S5" s="6"/>
      <c r="T5" s="6"/>
      <c r="U5" s="6"/>
      <c r="V5" s="6"/>
      <c r="W5" s="6"/>
      <c r="X5" s="6"/>
      <c r="Y5" s="6" t="s">
        <v>1498</v>
      </c>
      <c r="Z5" s="146" t="s">
        <v>128</v>
      </c>
      <c r="AA5" s="8" t="s">
        <v>746</v>
      </c>
      <c r="AB5" s="37" t="s">
        <v>518</v>
      </c>
      <c r="AC5" s="114" t="s">
        <v>1321</v>
      </c>
      <c r="AD5" s="199"/>
    </row>
    <row r="6" spans="1:30" x14ac:dyDescent="0.5">
      <c r="A6" s="2" t="s">
        <v>4</v>
      </c>
      <c r="B6" s="3" t="s">
        <v>129</v>
      </c>
      <c r="C6" s="6"/>
      <c r="D6" s="4" t="s">
        <v>1447</v>
      </c>
      <c r="E6" s="6"/>
      <c r="F6" s="6"/>
      <c r="G6" s="6"/>
      <c r="H6" s="6"/>
      <c r="I6" s="6"/>
      <c r="J6" s="6"/>
      <c r="K6" s="6"/>
      <c r="L6" s="6"/>
      <c r="M6" s="6"/>
      <c r="N6" s="6"/>
      <c r="O6" s="6"/>
      <c r="P6" s="6"/>
      <c r="Q6" s="6"/>
      <c r="R6" s="6"/>
      <c r="S6" s="6"/>
      <c r="T6" s="6"/>
      <c r="U6" s="6"/>
      <c r="V6" s="6"/>
      <c r="W6" s="6"/>
      <c r="X6" s="6"/>
      <c r="Y6" s="6" t="s">
        <v>1499</v>
      </c>
      <c r="Z6" s="146" t="s">
        <v>129</v>
      </c>
      <c r="AA6" s="8" t="s">
        <v>746</v>
      </c>
      <c r="AB6" s="37" t="s">
        <v>518</v>
      </c>
      <c r="AC6" s="114" t="s">
        <v>1329</v>
      </c>
      <c r="AD6" s="199"/>
    </row>
    <row r="7" spans="1:30" x14ac:dyDescent="0.5">
      <c r="A7" s="2" t="s">
        <v>4</v>
      </c>
      <c r="B7" s="3" t="s">
        <v>130</v>
      </c>
      <c r="C7" s="4" t="s">
        <v>1595</v>
      </c>
      <c r="D7" s="4" t="s">
        <v>698</v>
      </c>
      <c r="E7" s="6"/>
      <c r="F7" s="4" t="s">
        <v>695</v>
      </c>
      <c r="G7" s="18" t="s">
        <v>217</v>
      </c>
      <c r="H7" s="6"/>
      <c r="I7" s="6"/>
      <c r="J7" s="6"/>
      <c r="K7" s="6"/>
      <c r="L7" s="6"/>
      <c r="M7" s="6"/>
      <c r="N7" s="6"/>
      <c r="O7" s="6"/>
      <c r="P7" s="6"/>
      <c r="Q7" s="6"/>
      <c r="R7" s="6"/>
      <c r="S7" s="6"/>
      <c r="T7" s="6"/>
      <c r="U7" s="6"/>
      <c r="V7" s="6"/>
      <c r="W7" s="6"/>
      <c r="X7" s="6"/>
      <c r="Y7" s="6" t="s">
        <v>1500</v>
      </c>
      <c r="Z7" s="146" t="s">
        <v>130</v>
      </c>
      <c r="AA7" s="8" t="s">
        <v>746</v>
      </c>
      <c r="AB7" s="37" t="s">
        <v>518</v>
      </c>
      <c r="AC7" s="114"/>
      <c r="AD7" s="199"/>
    </row>
    <row r="8" spans="1:30" x14ac:dyDescent="0.5">
      <c r="A8" s="2" t="s">
        <v>4</v>
      </c>
      <c r="B8" s="3" t="s">
        <v>131</v>
      </c>
      <c r="C8" s="4" t="s">
        <v>1595</v>
      </c>
      <c r="D8" s="4" t="s">
        <v>701</v>
      </c>
      <c r="E8" s="4" t="s">
        <v>700</v>
      </c>
      <c r="F8" s="4" t="s">
        <v>695</v>
      </c>
      <c r="G8" s="4" t="s">
        <v>699</v>
      </c>
      <c r="H8" s="6"/>
      <c r="I8" s="6"/>
      <c r="J8" s="6"/>
      <c r="K8" s="6"/>
      <c r="L8" s="6"/>
      <c r="M8" s="6"/>
      <c r="N8" s="6"/>
      <c r="O8" s="6"/>
      <c r="P8" s="6"/>
      <c r="Q8" s="6"/>
      <c r="R8" s="6"/>
      <c r="S8" s="6"/>
      <c r="T8" s="6"/>
      <c r="U8" s="6"/>
      <c r="V8" s="6"/>
      <c r="W8" s="6"/>
      <c r="X8" s="6"/>
      <c r="Y8" s="6" t="s">
        <v>1501</v>
      </c>
      <c r="Z8" s="146" t="s">
        <v>131</v>
      </c>
      <c r="AA8" s="8" t="s">
        <v>746</v>
      </c>
      <c r="AB8" s="37" t="s">
        <v>518</v>
      </c>
      <c r="AC8" s="114"/>
      <c r="AD8" s="199"/>
    </row>
    <row r="9" spans="1:30" x14ac:dyDescent="0.5">
      <c r="A9" s="2" t="s">
        <v>4</v>
      </c>
      <c r="B9" s="3" t="s">
        <v>132</v>
      </c>
      <c r="C9" s="6"/>
      <c r="D9" s="4" t="s">
        <v>1451</v>
      </c>
      <c r="E9" s="5">
        <v>12345</v>
      </c>
      <c r="F9" s="4" t="s">
        <v>695</v>
      </c>
      <c r="G9" s="6"/>
      <c r="H9" s="6"/>
      <c r="I9" s="6"/>
      <c r="J9" s="6"/>
      <c r="K9" s="6"/>
      <c r="L9" s="6"/>
      <c r="M9" s="6"/>
      <c r="N9" s="6"/>
      <c r="O9" s="6"/>
      <c r="P9" s="6"/>
      <c r="Q9" s="6"/>
      <c r="R9" s="6"/>
      <c r="S9" s="6"/>
      <c r="T9" s="6"/>
      <c r="U9" s="6"/>
      <c r="V9" s="6"/>
      <c r="W9" s="6"/>
      <c r="X9" s="6"/>
      <c r="Y9" s="6" t="s">
        <v>1502</v>
      </c>
      <c r="Z9" s="146" t="s">
        <v>132</v>
      </c>
      <c r="AA9" s="8" t="s">
        <v>746</v>
      </c>
      <c r="AB9" s="37" t="s">
        <v>518</v>
      </c>
      <c r="AC9" s="114"/>
      <c r="AD9" s="203" t="s">
        <v>1334</v>
      </c>
    </row>
    <row r="10" spans="1:30" x14ac:dyDescent="0.5">
      <c r="A10" s="2" t="s">
        <v>4</v>
      </c>
      <c r="B10" s="3" t="s">
        <v>133</v>
      </c>
      <c r="C10" s="6"/>
      <c r="D10" s="4" t="s">
        <v>1451</v>
      </c>
      <c r="E10" s="6"/>
      <c r="F10" s="6"/>
      <c r="G10" s="6"/>
      <c r="H10" s="6"/>
      <c r="I10" s="6"/>
      <c r="J10" s="6"/>
      <c r="K10" s="6"/>
      <c r="L10" s="6"/>
      <c r="M10" s="6"/>
      <c r="N10" s="6"/>
      <c r="O10" s="6"/>
      <c r="P10" s="6"/>
      <c r="Q10" s="6"/>
      <c r="R10" s="6"/>
      <c r="S10" s="6"/>
      <c r="T10" s="6"/>
      <c r="U10" s="6"/>
      <c r="V10" s="6"/>
      <c r="W10" s="6"/>
      <c r="X10" s="6"/>
      <c r="Y10" s="6" t="s">
        <v>1503</v>
      </c>
      <c r="Z10" s="146" t="s">
        <v>133</v>
      </c>
      <c r="AA10" s="8" t="s">
        <v>746</v>
      </c>
      <c r="AB10" s="37" t="s">
        <v>518</v>
      </c>
      <c r="AC10" s="114" t="s">
        <v>1330</v>
      </c>
      <c r="AD10" s="203"/>
    </row>
    <row r="11" spans="1:30" x14ac:dyDescent="0.5">
      <c r="A11" s="2" t="s">
        <v>4</v>
      </c>
      <c r="B11" s="3" t="s">
        <v>134</v>
      </c>
      <c r="C11" s="6"/>
      <c r="D11" s="4" t="s">
        <v>1451</v>
      </c>
      <c r="E11" s="6"/>
      <c r="F11" s="6"/>
      <c r="G11" s="6"/>
      <c r="H11" s="6"/>
      <c r="I11" s="6"/>
      <c r="J11" s="6"/>
      <c r="K11" s="6"/>
      <c r="L11" s="6"/>
      <c r="M11" s="6"/>
      <c r="N11" s="6"/>
      <c r="O11" s="6"/>
      <c r="P11" s="6"/>
      <c r="Q11" s="6"/>
      <c r="R11" s="6"/>
      <c r="S11" s="6"/>
      <c r="T11" s="6"/>
      <c r="U11" s="6"/>
      <c r="V11" s="6"/>
      <c r="W11" s="6"/>
      <c r="X11" s="6"/>
      <c r="Y11" s="6" t="s">
        <v>1504</v>
      </c>
      <c r="Z11" s="146" t="s">
        <v>134</v>
      </c>
      <c r="AA11" s="8" t="s">
        <v>746</v>
      </c>
      <c r="AB11" s="37" t="s">
        <v>518</v>
      </c>
      <c r="AC11" s="152" t="s">
        <v>1330</v>
      </c>
      <c r="AD11" s="203"/>
    </row>
    <row r="12" spans="1:30" x14ac:dyDescent="0.5">
      <c r="A12" s="2" t="s">
        <v>4</v>
      </c>
      <c r="B12" s="3" t="s">
        <v>135</v>
      </c>
      <c r="C12" s="6"/>
      <c r="D12" s="4" t="s">
        <v>1451</v>
      </c>
      <c r="E12" s="4" t="s">
        <v>1452</v>
      </c>
      <c r="F12" s="6"/>
      <c r="G12" s="6"/>
      <c r="H12" s="6"/>
      <c r="I12" s="6"/>
      <c r="J12" s="6"/>
      <c r="K12" s="6"/>
      <c r="L12" s="6"/>
      <c r="M12" s="6"/>
      <c r="N12" s="6"/>
      <c r="O12" s="6"/>
      <c r="P12" s="6"/>
      <c r="Q12" s="6"/>
      <c r="R12" s="6"/>
      <c r="S12" s="6"/>
      <c r="T12" s="6"/>
      <c r="U12" s="6"/>
      <c r="V12" s="6"/>
      <c r="W12" s="6"/>
      <c r="X12" s="6"/>
      <c r="Y12" s="6" t="s">
        <v>1505</v>
      </c>
      <c r="Z12" s="146" t="s">
        <v>135</v>
      </c>
      <c r="AA12" s="8" t="s">
        <v>746</v>
      </c>
      <c r="AB12" s="37" t="s">
        <v>518</v>
      </c>
      <c r="AC12" s="114" t="s">
        <v>1331</v>
      </c>
      <c r="AD12" s="203"/>
    </row>
    <row r="13" spans="1:30" x14ac:dyDescent="0.5">
      <c r="A13" s="2" t="s">
        <v>4</v>
      </c>
      <c r="B13" s="3" t="s">
        <v>136</v>
      </c>
      <c r="C13" s="6"/>
      <c r="D13" s="4" t="s">
        <v>1451</v>
      </c>
      <c r="E13" s="4" t="s">
        <v>1453</v>
      </c>
      <c r="F13" s="4" t="s">
        <v>695</v>
      </c>
      <c r="G13" s="6"/>
      <c r="H13" s="6"/>
      <c r="I13" s="6"/>
      <c r="J13" s="6"/>
      <c r="K13" s="6"/>
      <c r="L13" s="6"/>
      <c r="M13" s="6"/>
      <c r="N13" s="6"/>
      <c r="O13" s="6"/>
      <c r="P13" s="6"/>
      <c r="Q13" s="6"/>
      <c r="R13" s="6"/>
      <c r="S13" s="6"/>
      <c r="T13" s="6"/>
      <c r="U13" s="6"/>
      <c r="V13" s="6"/>
      <c r="W13" s="6"/>
      <c r="X13" s="6"/>
      <c r="Y13" s="6" t="s">
        <v>1506</v>
      </c>
      <c r="Z13" s="146" t="s">
        <v>136</v>
      </c>
      <c r="AA13" s="8" t="s">
        <v>746</v>
      </c>
      <c r="AB13" s="37" t="s">
        <v>518</v>
      </c>
      <c r="AC13" s="114" t="s">
        <v>1330</v>
      </c>
      <c r="AD13" s="203"/>
    </row>
    <row r="14" spans="1:30" x14ac:dyDescent="0.5">
      <c r="A14" s="2" t="s">
        <v>4</v>
      </c>
      <c r="B14" s="3" t="s">
        <v>137</v>
      </c>
      <c r="C14" s="6"/>
      <c r="D14" s="4" t="s">
        <v>1451</v>
      </c>
      <c r="E14" s="6"/>
      <c r="F14" s="6"/>
      <c r="G14" s="6"/>
      <c r="H14" s="6"/>
      <c r="I14" s="6"/>
      <c r="J14" s="6"/>
      <c r="K14" s="6"/>
      <c r="L14" s="6"/>
      <c r="M14" s="6"/>
      <c r="N14" s="6"/>
      <c r="O14" s="6"/>
      <c r="P14" s="6"/>
      <c r="Q14" s="6"/>
      <c r="R14" s="6"/>
      <c r="S14" s="6"/>
      <c r="T14" s="6"/>
      <c r="U14" s="6"/>
      <c r="V14" s="6"/>
      <c r="W14" s="6"/>
      <c r="X14" s="6"/>
      <c r="Y14" s="6" t="s">
        <v>1507</v>
      </c>
      <c r="Z14" s="146" t="s">
        <v>137</v>
      </c>
      <c r="AA14" s="8" t="s">
        <v>746</v>
      </c>
      <c r="AB14" s="37" t="s">
        <v>518</v>
      </c>
      <c r="AC14" s="114" t="s">
        <v>1331</v>
      </c>
      <c r="AD14" s="203"/>
    </row>
    <row r="15" spans="1:30" x14ac:dyDescent="0.5">
      <c r="A15" s="2" t="s">
        <v>4</v>
      </c>
      <c r="B15" s="3" t="s">
        <v>138</v>
      </c>
      <c r="C15" s="4" t="s">
        <v>1595</v>
      </c>
      <c r="D15" s="4" t="s">
        <v>1447</v>
      </c>
      <c r="E15" s="4" t="s">
        <v>1448</v>
      </c>
      <c r="F15" s="6"/>
      <c r="G15" s="6"/>
      <c r="H15" s="6"/>
      <c r="I15" s="6"/>
      <c r="J15" s="6"/>
      <c r="K15" s="6"/>
      <c r="L15" s="6"/>
      <c r="M15" s="6"/>
      <c r="N15" s="6"/>
      <c r="O15" s="6"/>
      <c r="P15" s="6"/>
      <c r="Q15" s="6"/>
      <c r="R15" s="6"/>
      <c r="S15" s="6"/>
      <c r="T15" s="6"/>
      <c r="U15" s="6"/>
      <c r="V15" s="6"/>
      <c r="W15" s="6"/>
      <c r="X15" s="6"/>
      <c r="Y15" s="6" t="s">
        <v>1508</v>
      </c>
      <c r="Z15" s="146" t="s">
        <v>138</v>
      </c>
      <c r="AA15" s="8" t="s">
        <v>746</v>
      </c>
      <c r="AB15" s="37" t="s">
        <v>518</v>
      </c>
      <c r="AC15" s="114" t="s">
        <v>1329</v>
      </c>
      <c r="AD15" s="194" t="s">
        <v>1336</v>
      </c>
    </row>
    <row r="16" spans="1:30" x14ac:dyDescent="0.5">
      <c r="A16" s="2" t="s">
        <v>4</v>
      </c>
      <c r="B16" s="3" t="s">
        <v>139</v>
      </c>
      <c r="C16" s="6"/>
      <c r="D16" s="4" t="s">
        <v>384</v>
      </c>
      <c r="E16" s="6"/>
      <c r="F16" s="6"/>
      <c r="G16" s="6"/>
      <c r="H16" s="6"/>
      <c r="I16" s="6"/>
      <c r="J16" s="6"/>
      <c r="K16" s="6"/>
      <c r="L16" s="6"/>
      <c r="M16" s="6"/>
      <c r="N16" s="6"/>
      <c r="O16" s="6"/>
      <c r="P16" s="6"/>
      <c r="Q16" s="6"/>
      <c r="R16" s="6"/>
      <c r="S16" s="6"/>
      <c r="T16" s="6"/>
      <c r="U16" s="6"/>
      <c r="V16" s="6"/>
      <c r="W16" s="6"/>
      <c r="X16" s="6"/>
      <c r="Y16" s="6" t="s">
        <v>1509</v>
      </c>
      <c r="Z16" s="146" t="s">
        <v>139</v>
      </c>
      <c r="AA16" s="8" t="s">
        <v>746</v>
      </c>
      <c r="AB16" s="37" t="s">
        <v>518</v>
      </c>
      <c r="AC16" s="114"/>
      <c r="AD16" s="195"/>
    </row>
    <row r="17" spans="1:30" x14ac:dyDescent="0.5">
      <c r="A17" s="2" t="s">
        <v>4</v>
      </c>
      <c r="B17" s="3" t="s">
        <v>218</v>
      </c>
      <c r="C17" s="4" t="s">
        <v>1596</v>
      </c>
      <c r="D17" s="4" t="s">
        <v>675</v>
      </c>
      <c r="E17" s="6"/>
      <c r="F17" s="4" t="s">
        <v>385</v>
      </c>
      <c r="G17" s="18" t="s">
        <v>381</v>
      </c>
      <c r="H17" s="6"/>
      <c r="I17" s="6"/>
      <c r="J17" s="6"/>
      <c r="K17" s="6"/>
      <c r="L17" s="6"/>
      <c r="M17" s="6"/>
      <c r="N17" s="6"/>
      <c r="O17" s="6"/>
      <c r="P17" s="6"/>
      <c r="Q17" s="6"/>
      <c r="R17" s="6"/>
      <c r="S17" s="6"/>
      <c r="T17" s="6"/>
      <c r="U17" s="6"/>
      <c r="V17" s="6"/>
      <c r="W17" s="6"/>
      <c r="X17" s="6"/>
      <c r="Y17" s="6" t="s">
        <v>1510</v>
      </c>
      <c r="Z17" s="146" t="s">
        <v>218</v>
      </c>
      <c r="AA17" s="8" t="s">
        <v>746</v>
      </c>
      <c r="AB17" s="37" t="s">
        <v>518</v>
      </c>
      <c r="AC17" s="155" t="s">
        <v>1332</v>
      </c>
      <c r="AD17" s="195"/>
    </row>
    <row r="18" spans="1:30" x14ac:dyDescent="0.5">
      <c r="A18" s="2" t="s">
        <v>4</v>
      </c>
      <c r="B18" s="3" t="s">
        <v>219</v>
      </c>
      <c r="C18" s="4" t="s">
        <v>1596</v>
      </c>
      <c r="D18" s="4" t="s">
        <v>386</v>
      </c>
      <c r="E18" s="6"/>
      <c r="F18" s="4" t="s">
        <v>380</v>
      </c>
      <c r="G18" s="18" t="s">
        <v>381</v>
      </c>
      <c r="H18" s="6"/>
      <c r="I18" s="6"/>
      <c r="J18" s="6"/>
      <c r="K18" s="6"/>
      <c r="L18" s="6"/>
      <c r="M18" s="6"/>
      <c r="N18" s="6"/>
      <c r="O18" s="6"/>
      <c r="P18" s="6"/>
      <c r="Q18" s="6"/>
      <c r="R18" s="6"/>
      <c r="S18" s="6"/>
      <c r="T18" s="6"/>
      <c r="U18" s="6"/>
      <c r="V18" s="6"/>
      <c r="W18" s="6"/>
      <c r="X18" s="6"/>
      <c r="Y18" s="6" t="s">
        <v>1511</v>
      </c>
      <c r="Z18" s="146" t="s">
        <v>219</v>
      </c>
      <c r="AA18" s="8" t="s">
        <v>746</v>
      </c>
      <c r="AB18" s="37" t="s">
        <v>518</v>
      </c>
      <c r="AC18" s="8"/>
      <c r="AD18" s="195"/>
    </row>
    <row r="19" spans="1:30" x14ac:dyDescent="0.5">
      <c r="A19" s="2" t="s">
        <v>4</v>
      </c>
      <c r="B19" s="3" t="s">
        <v>220</v>
      </c>
      <c r="C19" s="4" t="s">
        <v>1597</v>
      </c>
      <c r="D19" s="4" t="s">
        <v>387</v>
      </c>
      <c r="E19" s="6"/>
      <c r="F19" s="4" t="s">
        <v>380</v>
      </c>
      <c r="G19" s="18" t="s">
        <v>381</v>
      </c>
      <c r="H19" s="6"/>
      <c r="I19" s="6"/>
      <c r="J19" s="6"/>
      <c r="K19" s="6"/>
      <c r="L19" s="6"/>
      <c r="M19" s="6"/>
      <c r="N19" s="6"/>
      <c r="O19" s="6"/>
      <c r="P19" s="6"/>
      <c r="Q19" s="6"/>
      <c r="R19" s="6"/>
      <c r="S19" s="6"/>
      <c r="T19" s="6"/>
      <c r="U19" s="6"/>
      <c r="V19" s="6"/>
      <c r="W19" s="6"/>
      <c r="X19" s="6"/>
      <c r="Y19" s="6" t="s">
        <v>1512</v>
      </c>
      <c r="Z19" s="146" t="s">
        <v>220</v>
      </c>
      <c r="AA19" s="8" t="s">
        <v>746</v>
      </c>
      <c r="AB19" s="37" t="s">
        <v>518</v>
      </c>
      <c r="AC19" s="8"/>
      <c r="AD19" s="195"/>
    </row>
    <row r="20" spans="1:30" x14ac:dyDescent="0.5">
      <c r="A20" s="2" t="s">
        <v>4</v>
      </c>
      <c r="B20" s="3" t="s">
        <v>221</v>
      </c>
      <c r="C20" s="4" t="s">
        <v>1598</v>
      </c>
      <c r="D20" s="4" t="s">
        <v>626</v>
      </c>
      <c r="E20" s="6"/>
      <c r="F20" s="4" t="s">
        <v>695</v>
      </c>
      <c r="G20" s="18" t="s">
        <v>697</v>
      </c>
      <c r="H20" s="6"/>
      <c r="I20" s="6"/>
      <c r="J20" s="6"/>
      <c r="K20" s="6"/>
      <c r="L20" s="6"/>
      <c r="M20" s="6"/>
      <c r="N20" s="6"/>
      <c r="O20" s="6"/>
      <c r="P20" s="6"/>
      <c r="Q20" s="6"/>
      <c r="R20" s="6"/>
      <c r="S20" s="6"/>
      <c r="T20" s="6"/>
      <c r="U20" s="6"/>
      <c r="V20" s="6"/>
      <c r="W20" s="6"/>
      <c r="X20" s="6"/>
      <c r="Y20" s="6" t="s">
        <v>1513</v>
      </c>
      <c r="Z20" s="146" t="s">
        <v>221</v>
      </c>
      <c r="AA20" s="8" t="s">
        <v>746</v>
      </c>
      <c r="AB20" s="37" t="s">
        <v>518</v>
      </c>
      <c r="AC20" s="8"/>
      <c r="AD20" s="195"/>
    </row>
    <row r="21" spans="1:30" x14ac:dyDescent="0.5">
      <c r="A21" s="2" t="s">
        <v>4</v>
      </c>
      <c r="B21" s="3" t="s">
        <v>222</v>
      </c>
      <c r="C21" s="4" t="s">
        <v>1597</v>
      </c>
      <c r="D21" s="4" t="s">
        <v>387</v>
      </c>
      <c r="E21" s="6"/>
      <c r="F21" s="4" t="s">
        <v>380</v>
      </c>
      <c r="G21" s="18" t="s">
        <v>381</v>
      </c>
      <c r="H21" s="6"/>
      <c r="I21" s="6"/>
      <c r="J21" s="6"/>
      <c r="K21" s="6"/>
      <c r="L21" s="6"/>
      <c r="M21" s="6"/>
      <c r="N21" s="6"/>
      <c r="O21" s="6"/>
      <c r="P21" s="6"/>
      <c r="Q21" s="6"/>
      <c r="R21" s="6"/>
      <c r="S21" s="6"/>
      <c r="T21" s="6"/>
      <c r="U21" s="6"/>
      <c r="V21" s="6"/>
      <c r="W21" s="6"/>
      <c r="X21" s="6"/>
      <c r="Y21" s="6" t="s">
        <v>1514</v>
      </c>
      <c r="Z21" s="146" t="s">
        <v>222</v>
      </c>
      <c r="AA21" s="8" t="s">
        <v>746</v>
      </c>
      <c r="AB21" s="37" t="s">
        <v>518</v>
      </c>
      <c r="AC21" s="8"/>
      <c r="AD21" s="195"/>
    </row>
    <row r="22" spans="1:30" x14ac:dyDescent="0.5">
      <c r="A22" s="2" t="s">
        <v>4</v>
      </c>
      <c r="B22" s="3" t="s">
        <v>223</v>
      </c>
      <c r="C22" s="4" t="s">
        <v>1598</v>
      </c>
      <c r="D22" s="4" t="s">
        <v>1443</v>
      </c>
      <c r="E22" s="6"/>
      <c r="F22" s="4" t="s">
        <v>695</v>
      </c>
      <c r="G22" s="18" t="s">
        <v>697</v>
      </c>
      <c r="H22" s="6"/>
      <c r="I22" s="6"/>
      <c r="J22" s="6"/>
      <c r="K22" s="6"/>
      <c r="L22" s="6"/>
      <c r="M22" s="6"/>
      <c r="N22" s="6"/>
      <c r="O22" s="6"/>
      <c r="P22" s="6"/>
      <c r="Q22" s="6"/>
      <c r="R22" s="6"/>
      <c r="S22" s="6"/>
      <c r="T22" s="6"/>
      <c r="U22" s="6"/>
      <c r="V22" s="6"/>
      <c r="W22" s="6"/>
      <c r="X22" s="6"/>
      <c r="Y22" s="6" t="s">
        <v>1515</v>
      </c>
      <c r="Z22" s="146" t="s">
        <v>223</v>
      </c>
      <c r="AA22" s="8" t="s">
        <v>746</v>
      </c>
      <c r="AB22" s="37" t="s">
        <v>518</v>
      </c>
      <c r="AC22" s="8"/>
      <c r="AD22" s="195"/>
    </row>
    <row r="23" spans="1:30" x14ac:dyDescent="0.5">
      <c r="A23" s="2" t="s">
        <v>4</v>
      </c>
      <c r="B23" s="3" t="s">
        <v>224</v>
      </c>
      <c r="C23" s="4" t="s">
        <v>1597</v>
      </c>
      <c r="D23" s="4" t="s">
        <v>1576</v>
      </c>
      <c r="E23" s="6"/>
      <c r="F23" s="4" t="s">
        <v>380</v>
      </c>
      <c r="G23" s="18" t="s">
        <v>381</v>
      </c>
      <c r="H23" s="6"/>
      <c r="I23" s="6"/>
      <c r="J23" s="6"/>
      <c r="K23" s="6"/>
      <c r="L23" s="6"/>
      <c r="M23" s="6"/>
      <c r="N23" s="6"/>
      <c r="O23" s="6"/>
      <c r="P23" s="6"/>
      <c r="Q23" s="6"/>
      <c r="R23" s="6"/>
      <c r="S23" s="6"/>
      <c r="T23" s="6"/>
      <c r="U23" s="6"/>
      <c r="V23" s="6"/>
      <c r="W23" s="6"/>
      <c r="X23" s="6"/>
      <c r="Y23" s="6" t="s">
        <v>1516</v>
      </c>
      <c r="Z23" s="146" t="s">
        <v>224</v>
      </c>
      <c r="AA23" s="8" t="s">
        <v>746</v>
      </c>
      <c r="AB23" s="37" t="s">
        <v>518</v>
      </c>
      <c r="AC23" s="8"/>
      <c r="AD23" s="195"/>
    </row>
    <row r="24" spans="1:30" x14ac:dyDescent="0.5">
      <c r="A24" s="2" t="s">
        <v>4</v>
      </c>
      <c r="B24" s="3" t="s">
        <v>225</v>
      </c>
      <c r="C24" s="4" t="s">
        <v>1597</v>
      </c>
      <c r="D24" s="6"/>
      <c r="E24" s="6"/>
      <c r="F24" s="6"/>
      <c r="G24" s="6"/>
      <c r="H24" s="4" t="s">
        <v>388</v>
      </c>
      <c r="I24" s="4" t="s">
        <v>389</v>
      </c>
      <c r="J24" s="20" t="s">
        <v>390</v>
      </c>
      <c r="K24" s="20" t="s">
        <v>391</v>
      </c>
      <c r="L24" s="6"/>
      <c r="M24" s="6"/>
      <c r="N24" s="6"/>
      <c r="O24" s="6"/>
      <c r="P24" s="6"/>
      <c r="Q24" s="6"/>
      <c r="R24" s="6"/>
      <c r="S24" s="6"/>
      <c r="T24" s="6"/>
      <c r="U24" s="6"/>
      <c r="V24" s="6"/>
      <c r="W24" s="6"/>
      <c r="X24" s="6"/>
      <c r="Y24" s="6" t="s">
        <v>1517</v>
      </c>
      <c r="Z24" s="146" t="s">
        <v>225</v>
      </c>
      <c r="AA24" s="8" t="s">
        <v>746</v>
      </c>
      <c r="AB24" s="37" t="s">
        <v>518</v>
      </c>
      <c r="AC24" s="8"/>
      <c r="AD24" s="195"/>
    </row>
    <row r="25" spans="1:30" x14ac:dyDescent="0.5">
      <c r="A25" s="2" t="s">
        <v>4</v>
      </c>
      <c r="B25" s="3" t="s">
        <v>227</v>
      </c>
      <c r="C25" s="4" t="s">
        <v>1597</v>
      </c>
      <c r="D25" s="4" t="s">
        <v>392</v>
      </c>
      <c r="E25" s="6"/>
      <c r="F25" s="6"/>
      <c r="G25" s="6"/>
      <c r="H25" s="4" t="s">
        <v>388</v>
      </c>
      <c r="I25" s="4" t="s">
        <v>393</v>
      </c>
      <c r="J25" s="6"/>
      <c r="K25" s="6"/>
      <c r="L25" s="6"/>
      <c r="M25" s="6"/>
      <c r="N25" s="6"/>
      <c r="O25" s="6"/>
      <c r="P25" s="6"/>
      <c r="Q25" s="6"/>
      <c r="R25" s="6"/>
      <c r="S25" s="6"/>
      <c r="T25" s="6"/>
      <c r="U25" s="6"/>
      <c r="V25" s="6"/>
      <c r="W25" s="6"/>
      <c r="X25" s="6"/>
      <c r="Y25" s="6" t="s">
        <v>1518</v>
      </c>
      <c r="Z25" s="146" t="s">
        <v>227</v>
      </c>
      <c r="AA25" s="8" t="s">
        <v>746</v>
      </c>
      <c r="AB25" s="37" t="s">
        <v>518</v>
      </c>
      <c r="AC25" s="8"/>
      <c r="AD25" s="195"/>
    </row>
    <row r="26" spans="1:30" x14ac:dyDescent="0.5">
      <c r="A26" s="2" t="s">
        <v>4</v>
      </c>
      <c r="B26" s="3" t="s">
        <v>228</v>
      </c>
      <c r="C26" s="6"/>
      <c r="D26" s="4" t="s">
        <v>392</v>
      </c>
      <c r="E26" s="6"/>
      <c r="F26" s="6"/>
      <c r="G26" s="6"/>
      <c r="H26" s="6"/>
      <c r="I26" s="6"/>
      <c r="J26" s="6"/>
      <c r="K26" s="6"/>
      <c r="L26" s="6"/>
      <c r="M26" s="6"/>
      <c r="N26" s="6"/>
      <c r="O26" s="6"/>
      <c r="P26" s="6"/>
      <c r="Q26" s="6"/>
      <c r="R26" s="6"/>
      <c r="S26" s="6"/>
      <c r="T26" s="6"/>
      <c r="U26" s="6"/>
      <c r="V26" s="6"/>
      <c r="W26" s="6"/>
      <c r="X26" s="6"/>
      <c r="Y26" s="6" t="s">
        <v>1519</v>
      </c>
      <c r="Z26" s="146" t="s">
        <v>228</v>
      </c>
      <c r="AA26" s="8" t="s">
        <v>746</v>
      </c>
      <c r="AB26" s="37" t="s">
        <v>518</v>
      </c>
      <c r="AC26" s="8"/>
      <c r="AD26" s="195"/>
    </row>
    <row r="27" spans="1:30" x14ac:dyDescent="0.5">
      <c r="A27" s="2" t="s">
        <v>4</v>
      </c>
      <c r="B27" s="3" t="s">
        <v>229</v>
      </c>
      <c r="C27" s="4" t="s">
        <v>1571</v>
      </c>
      <c r="D27" s="4" t="s">
        <v>1572</v>
      </c>
      <c r="E27" s="6"/>
      <c r="F27" s="4" t="s">
        <v>695</v>
      </c>
      <c r="G27" s="6"/>
      <c r="H27" s="4" t="s">
        <v>388</v>
      </c>
      <c r="I27" s="4" t="s">
        <v>1573</v>
      </c>
      <c r="J27" s="6"/>
      <c r="K27" s="6"/>
      <c r="L27" s="6"/>
      <c r="M27" s="6"/>
      <c r="N27" s="6"/>
      <c r="O27" s="6"/>
      <c r="P27" s="6"/>
      <c r="Q27" s="6"/>
      <c r="R27" s="6"/>
      <c r="S27" s="6"/>
      <c r="T27" s="6"/>
      <c r="U27" s="6"/>
      <c r="V27" s="6"/>
      <c r="W27" s="6"/>
      <c r="X27" s="6"/>
      <c r="Y27" s="6" t="s">
        <v>1520</v>
      </c>
      <c r="Z27" s="146" t="s">
        <v>229</v>
      </c>
      <c r="AA27" s="8" t="s">
        <v>746</v>
      </c>
      <c r="AB27" s="37" t="s">
        <v>518</v>
      </c>
      <c r="AC27" s="8"/>
      <c r="AD27" s="195"/>
    </row>
    <row r="28" spans="1:30" x14ac:dyDescent="0.5">
      <c r="A28" s="2" t="s">
        <v>4</v>
      </c>
      <c r="B28" s="3" t="s">
        <v>230</v>
      </c>
      <c r="C28" s="6"/>
      <c r="D28" s="4" t="s">
        <v>696</v>
      </c>
      <c r="E28" s="6"/>
      <c r="F28" s="6"/>
      <c r="G28" s="6"/>
      <c r="H28" s="6"/>
      <c r="I28" s="6"/>
      <c r="J28" s="6"/>
      <c r="K28" s="6"/>
      <c r="L28" s="18" t="s">
        <v>394</v>
      </c>
      <c r="M28" s="6"/>
      <c r="N28" s="6"/>
      <c r="O28" s="6"/>
      <c r="P28" s="6"/>
      <c r="Q28" s="6"/>
      <c r="R28" s="6"/>
      <c r="S28" s="6"/>
      <c r="T28" s="6"/>
      <c r="U28" s="6"/>
      <c r="V28" s="6"/>
      <c r="W28" s="6"/>
      <c r="X28" s="6"/>
      <c r="Y28" s="6" t="s">
        <v>1521</v>
      </c>
      <c r="Z28" s="146" t="s">
        <v>230</v>
      </c>
      <c r="AA28" s="8" t="s">
        <v>746</v>
      </c>
      <c r="AB28" s="37" t="s">
        <v>518</v>
      </c>
      <c r="AC28" s="8"/>
      <c r="AD28" s="195"/>
    </row>
    <row r="29" spans="1:30" x14ac:dyDescent="0.5">
      <c r="A29" s="2" t="s">
        <v>4</v>
      </c>
      <c r="B29" s="3" t="s">
        <v>231</v>
      </c>
      <c r="C29" s="4" t="s">
        <v>1598</v>
      </c>
      <c r="D29" s="4" t="s">
        <v>1444</v>
      </c>
      <c r="E29" s="4" t="s">
        <v>1445</v>
      </c>
      <c r="F29" s="4" t="s">
        <v>1446</v>
      </c>
      <c r="G29" s="18" t="s">
        <v>697</v>
      </c>
      <c r="H29" s="6"/>
      <c r="I29" s="6"/>
      <c r="J29" s="6"/>
      <c r="K29" s="6"/>
      <c r="L29" s="18" t="s">
        <v>394</v>
      </c>
      <c r="M29" s="6"/>
      <c r="N29" s="6"/>
      <c r="O29" s="6"/>
      <c r="P29" s="6"/>
      <c r="Q29" s="6"/>
      <c r="R29" s="6"/>
      <c r="S29" s="6"/>
      <c r="T29" s="6"/>
      <c r="U29" s="6"/>
      <c r="V29" s="6"/>
      <c r="W29" s="6"/>
      <c r="X29" s="6"/>
      <c r="Y29" s="6" t="s">
        <v>1522</v>
      </c>
      <c r="Z29" s="146" t="s">
        <v>231</v>
      </c>
      <c r="AA29" s="8" t="s">
        <v>746</v>
      </c>
      <c r="AB29" s="37" t="s">
        <v>518</v>
      </c>
      <c r="AC29" s="8"/>
      <c r="AD29" s="195"/>
    </row>
    <row r="30" spans="1:30" x14ac:dyDescent="0.5">
      <c r="A30" s="2" t="s">
        <v>4</v>
      </c>
      <c r="B30" s="3" t="s">
        <v>232</v>
      </c>
      <c r="C30" s="4" t="s">
        <v>1595</v>
      </c>
      <c r="D30" s="4" t="s">
        <v>1599</v>
      </c>
      <c r="E30" s="6"/>
      <c r="F30" s="4" t="s">
        <v>695</v>
      </c>
      <c r="G30" s="18" t="s">
        <v>697</v>
      </c>
      <c r="H30" s="6"/>
      <c r="I30" s="4" t="s">
        <v>18</v>
      </c>
      <c r="J30" s="6"/>
      <c r="K30" s="6"/>
      <c r="L30" s="6"/>
      <c r="M30" s="6"/>
      <c r="N30" s="6"/>
      <c r="O30" s="6"/>
      <c r="P30" s="6"/>
      <c r="Q30" s="6"/>
      <c r="R30" s="6"/>
      <c r="S30" s="6"/>
      <c r="T30" s="6"/>
      <c r="U30" s="6"/>
      <c r="V30" s="6"/>
      <c r="W30" s="6"/>
      <c r="X30" s="6"/>
      <c r="Y30" s="6" t="s">
        <v>1523</v>
      </c>
      <c r="Z30" s="146" t="s">
        <v>232</v>
      </c>
      <c r="AA30" s="8" t="s">
        <v>746</v>
      </c>
      <c r="AB30" s="37" t="s">
        <v>518</v>
      </c>
      <c r="AC30" s="8"/>
      <c r="AD30" s="195"/>
    </row>
    <row r="31" spans="1:30" x14ac:dyDescent="0.5">
      <c r="A31" s="2" t="s">
        <v>4</v>
      </c>
      <c r="B31" s="3" t="s">
        <v>233</v>
      </c>
      <c r="C31" s="4" t="s">
        <v>1595</v>
      </c>
      <c r="D31" s="6"/>
      <c r="E31" s="6"/>
      <c r="F31" s="6"/>
      <c r="G31" s="18" t="s">
        <v>697</v>
      </c>
      <c r="H31" s="4">
        <v>15</v>
      </c>
      <c r="I31" s="4" t="s">
        <v>18</v>
      </c>
      <c r="J31" s="21" t="s">
        <v>395</v>
      </c>
      <c r="K31" s="21" t="s">
        <v>396</v>
      </c>
      <c r="L31" s="6"/>
      <c r="M31" s="6"/>
      <c r="N31" s="6"/>
      <c r="O31" s="6"/>
      <c r="P31" s="6"/>
      <c r="Q31" s="6"/>
      <c r="R31" s="6"/>
      <c r="S31" s="6"/>
      <c r="T31" s="6"/>
      <c r="U31" s="6"/>
      <c r="V31" s="6"/>
      <c r="W31" s="6"/>
      <c r="X31" s="6"/>
      <c r="Y31" s="6" t="s">
        <v>1524</v>
      </c>
      <c r="Z31" s="146" t="s">
        <v>233</v>
      </c>
      <c r="AA31" s="8" t="s">
        <v>746</v>
      </c>
      <c r="AB31" s="37" t="s">
        <v>518</v>
      </c>
      <c r="AC31" s="8"/>
      <c r="AD31" s="195"/>
    </row>
    <row r="32" spans="1:30" x14ac:dyDescent="0.5">
      <c r="A32" s="2" t="s">
        <v>4</v>
      </c>
      <c r="B32" s="3" t="s">
        <v>410</v>
      </c>
      <c r="C32" s="4" t="s">
        <v>1595</v>
      </c>
      <c r="D32" s="4" t="s">
        <v>1447</v>
      </c>
      <c r="E32" s="6"/>
      <c r="F32" s="6"/>
      <c r="G32" s="6"/>
      <c r="H32" s="6"/>
      <c r="I32" s="6"/>
      <c r="J32" s="6"/>
      <c r="K32" s="6"/>
      <c r="L32" s="6"/>
      <c r="M32" s="6"/>
      <c r="N32" s="6"/>
      <c r="O32" s="6"/>
      <c r="P32" s="6"/>
      <c r="Q32" s="6"/>
      <c r="R32" s="6"/>
      <c r="S32" s="6"/>
      <c r="T32" s="6"/>
      <c r="U32" s="6"/>
      <c r="V32" s="6"/>
      <c r="W32" s="6"/>
      <c r="X32" s="6"/>
      <c r="Y32" s="6" t="s">
        <v>1525</v>
      </c>
      <c r="Z32" s="146" t="s">
        <v>410</v>
      </c>
      <c r="AA32" s="8" t="s">
        <v>746</v>
      </c>
      <c r="AB32" s="37" t="s">
        <v>518</v>
      </c>
      <c r="AC32" s="114" t="s">
        <v>1321</v>
      </c>
      <c r="AD32" s="196"/>
    </row>
    <row r="33" spans="1:30" x14ac:dyDescent="0.5">
      <c r="A33" s="2" t="s">
        <v>1592</v>
      </c>
      <c r="B33" s="3" t="s">
        <v>411</v>
      </c>
      <c r="C33" s="4" t="s">
        <v>1570</v>
      </c>
      <c r="D33" s="4" t="s">
        <v>1561</v>
      </c>
      <c r="E33" s="6"/>
      <c r="F33" s="4" t="s">
        <v>1565</v>
      </c>
      <c r="G33" s="4" t="s">
        <v>1567</v>
      </c>
      <c r="H33" s="6"/>
      <c r="I33" s="18" t="s">
        <v>1568</v>
      </c>
      <c r="J33" s="6"/>
      <c r="K33" s="6"/>
      <c r="L33" s="6"/>
      <c r="M33" s="6"/>
      <c r="N33" s="6"/>
      <c r="O33" s="6"/>
      <c r="P33" s="6"/>
      <c r="Q33" s="6"/>
      <c r="R33" s="6"/>
      <c r="S33" s="6"/>
      <c r="T33" s="6"/>
      <c r="U33" s="6"/>
      <c r="V33" s="6"/>
      <c r="W33" s="6"/>
      <c r="X33" s="6"/>
      <c r="Y33" s="6" t="s">
        <v>1526</v>
      </c>
      <c r="Z33" s="146" t="s">
        <v>411</v>
      </c>
      <c r="AA33" s="8" t="s">
        <v>746</v>
      </c>
      <c r="AB33" s="37" t="s">
        <v>518</v>
      </c>
      <c r="AC33" s="35"/>
      <c r="AD33" s="200" t="s">
        <v>1333</v>
      </c>
    </row>
    <row r="34" spans="1:30" x14ac:dyDescent="0.5">
      <c r="A34" s="2" t="s">
        <v>1592</v>
      </c>
      <c r="B34" s="3" t="s">
        <v>412</v>
      </c>
      <c r="C34" s="4" t="s">
        <v>1570</v>
      </c>
      <c r="D34" s="4" t="s">
        <v>1561</v>
      </c>
      <c r="E34" s="6"/>
      <c r="F34" s="4" t="s">
        <v>1564</v>
      </c>
      <c r="G34" s="4" t="s">
        <v>1566</v>
      </c>
      <c r="H34" s="6"/>
      <c r="I34" s="18" t="s">
        <v>1569</v>
      </c>
      <c r="J34" s="6"/>
      <c r="K34" s="6"/>
      <c r="L34" s="6"/>
      <c r="M34" s="6"/>
      <c r="N34" s="6"/>
      <c r="O34" s="6"/>
      <c r="P34" s="6"/>
      <c r="Q34" s="6"/>
      <c r="R34" s="6"/>
      <c r="S34" s="6"/>
      <c r="T34" s="6"/>
      <c r="U34" s="6"/>
      <c r="V34" s="6"/>
      <c r="W34" s="6"/>
      <c r="X34" s="6"/>
      <c r="Y34" s="6" t="s">
        <v>1527</v>
      </c>
      <c r="Z34" s="146" t="s">
        <v>412</v>
      </c>
      <c r="AA34" s="8" t="s">
        <v>746</v>
      </c>
      <c r="AB34" s="37" t="s">
        <v>518</v>
      </c>
      <c r="AC34" s="52" t="s">
        <v>1327</v>
      </c>
      <c r="AD34" s="201"/>
    </row>
    <row r="35" spans="1:30" x14ac:dyDescent="0.5">
      <c r="A35" s="2" t="s">
        <v>1592</v>
      </c>
      <c r="B35" s="3" t="s">
        <v>413</v>
      </c>
      <c r="C35" s="6"/>
      <c r="D35" s="4" t="s">
        <v>1561</v>
      </c>
      <c r="E35" s="4" t="s">
        <v>1562</v>
      </c>
      <c r="F35" s="4" t="s">
        <v>1563</v>
      </c>
      <c r="G35" s="6"/>
      <c r="H35" s="6"/>
      <c r="I35" s="6"/>
      <c r="J35" s="6"/>
      <c r="K35" s="6"/>
      <c r="L35" s="6"/>
      <c r="M35" s="6"/>
      <c r="N35" s="6"/>
      <c r="O35" s="6"/>
      <c r="P35" s="6"/>
      <c r="Q35" s="6"/>
      <c r="R35" s="6"/>
      <c r="S35" s="6"/>
      <c r="T35" s="6"/>
      <c r="U35" s="6"/>
      <c r="V35" s="6"/>
      <c r="W35" s="6"/>
      <c r="X35" s="6"/>
      <c r="Y35" s="6" t="s">
        <v>1528</v>
      </c>
      <c r="Z35" s="146" t="s">
        <v>413</v>
      </c>
      <c r="AA35" s="8" t="s">
        <v>746</v>
      </c>
      <c r="AB35" s="37" t="s">
        <v>518</v>
      </c>
      <c r="AC35" s="52" t="s">
        <v>1328</v>
      </c>
      <c r="AD35" s="201"/>
    </row>
    <row r="36" spans="1:30" x14ac:dyDescent="0.5">
      <c r="A36" s="2" t="s">
        <v>1592</v>
      </c>
      <c r="B36" s="3" t="s">
        <v>414</v>
      </c>
      <c r="C36" s="4" t="s">
        <v>453</v>
      </c>
      <c r="D36" s="4" t="s">
        <v>440</v>
      </c>
      <c r="E36" s="6"/>
      <c r="F36" s="4" t="s">
        <v>442</v>
      </c>
      <c r="G36" s="4" t="s">
        <v>444</v>
      </c>
      <c r="H36" s="4" t="s">
        <v>445</v>
      </c>
      <c r="I36" s="18" t="s">
        <v>446</v>
      </c>
      <c r="J36" s="6"/>
      <c r="K36" s="6"/>
      <c r="L36" s="6"/>
      <c r="M36" s="18" t="s">
        <v>455</v>
      </c>
      <c r="N36" s="18" t="s">
        <v>456</v>
      </c>
      <c r="O36" s="6"/>
      <c r="P36" s="6"/>
      <c r="Q36" s="6"/>
      <c r="R36" s="6"/>
      <c r="S36" s="6"/>
      <c r="T36" s="6"/>
      <c r="U36" s="6"/>
      <c r="V36" s="6"/>
      <c r="W36" s="6"/>
      <c r="X36" s="6"/>
      <c r="Y36" s="6" t="s">
        <v>1529</v>
      </c>
      <c r="Z36" s="146" t="s">
        <v>414</v>
      </c>
      <c r="AA36" s="8" t="s">
        <v>746</v>
      </c>
      <c r="AB36" s="37" t="s">
        <v>518</v>
      </c>
      <c r="AC36" s="8"/>
      <c r="AD36" s="201"/>
    </row>
    <row r="37" spans="1:30" x14ac:dyDescent="0.5">
      <c r="A37" s="2" t="s">
        <v>1592</v>
      </c>
      <c r="B37" s="3" t="s">
        <v>415</v>
      </c>
      <c r="C37" s="6"/>
      <c r="D37" s="4" t="s">
        <v>440</v>
      </c>
      <c r="E37" s="6"/>
      <c r="F37" s="6"/>
      <c r="G37" s="6"/>
      <c r="H37" s="6"/>
      <c r="I37" s="6"/>
      <c r="J37" s="6"/>
      <c r="K37" s="6"/>
      <c r="L37" s="6"/>
      <c r="M37" s="6"/>
      <c r="N37" s="6"/>
      <c r="O37" s="6"/>
      <c r="P37" s="6"/>
      <c r="Q37" s="6"/>
      <c r="R37" s="6"/>
      <c r="S37" s="6"/>
      <c r="T37" s="6"/>
      <c r="U37" s="6"/>
      <c r="V37" s="6"/>
      <c r="W37" s="6"/>
      <c r="X37" s="6"/>
      <c r="Y37" s="6" t="s">
        <v>1530</v>
      </c>
      <c r="Z37" s="146" t="s">
        <v>415</v>
      </c>
      <c r="AA37" s="8" t="s">
        <v>746</v>
      </c>
      <c r="AB37" s="37" t="s">
        <v>518</v>
      </c>
      <c r="AC37" s="52" t="s">
        <v>1324</v>
      </c>
      <c r="AD37" s="201"/>
    </row>
    <row r="38" spans="1:30" x14ac:dyDescent="0.5">
      <c r="A38" s="2" t="s">
        <v>1592</v>
      </c>
      <c r="B38" s="3" t="s">
        <v>416</v>
      </c>
      <c r="C38" s="6"/>
      <c r="D38" s="4" t="s">
        <v>440</v>
      </c>
      <c r="E38" s="4" t="s">
        <v>457</v>
      </c>
      <c r="F38" s="4" t="s">
        <v>442</v>
      </c>
      <c r="G38" s="6"/>
      <c r="H38" s="6"/>
      <c r="I38" s="6"/>
      <c r="J38" s="6"/>
      <c r="K38" s="6"/>
      <c r="L38" s="6"/>
      <c r="M38" s="6"/>
      <c r="N38" s="6"/>
      <c r="O38" s="6"/>
      <c r="P38" s="6"/>
      <c r="Q38" s="6"/>
      <c r="R38" s="6"/>
      <c r="S38" s="6"/>
      <c r="T38" s="6"/>
      <c r="U38" s="6"/>
      <c r="V38" s="6"/>
      <c r="W38" s="6"/>
      <c r="X38" s="6"/>
      <c r="Y38" s="6" t="s">
        <v>1531</v>
      </c>
      <c r="Z38" s="146" t="s">
        <v>416</v>
      </c>
      <c r="AA38" s="8" t="s">
        <v>746</v>
      </c>
      <c r="AB38" s="37" t="s">
        <v>518</v>
      </c>
      <c r="AC38" s="52" t="s">
        <v>1325</v>
      </c>
      <c r="AD38" s="201"/>
    </row>
    <row r="39" spans="1:30" x14ac:dyDescent="0.5">
      <c r="A39" s="2" t="s">
        <v>1592</v>
      </c>
      <c r="B39" s="3" t="s">
        <v>417</v>
      </c>
      <c r="C39" s="6"/>
      <c r="D39" s="4" t="s">
        <v>440</v>
      </c>
      <c r="E39" s="6"/>
      <c r="F39" s="6"/>
      <c r="G39" s="6"/>
      <c r="H39" s="6"/>
      <c r="I39" s="6"/>
      <c r="J39" s="6"/>
      <c r="K39" s="6"/>
      <c r="L39" s="6"/>
      <c r="M39" s="6"/>
      <c r="N39" s="6"/>
      <c r="O39" s="6"/>
      <c r="P39" s="6"/>
      <c r="Q39" s="6"/>
      <c r="R39" s="6"/>
      <c r="S39" s="6"/>
      <c r="T39" s="6"/>
      <c r="U39" s="6"/>
      <c r="V39" s="6"/>
      <c r="W39" s="6"/>
      <c r="X39" s="6"/>
      <c r="Y39" s="6" t="s">
        <v>1532</v>
      </c>
      <c r="Z39" s="146" t="s">
        <v>417</v>
      </c>
      <c r="AA39" s="8" t="s">
        <v>746</v>
      </c>
      <c r="AB39" s="37" t="s">
        <v>518</v>
      </c>
      <c r="AC39" s="52" t="s">
        <v>1326</v>
      </c>
      <c r="AD39" s="202"/>
    </row>
    <row r="40" spans="1:30" x14ac:dyDescent="0.5">
      <c r="A40" s="2" t="s">
        <v>1592</v>
      </c>
      <c r="B40" s="3" t="s">
        <v>418</v>
      </c>
      <c r="C40" s="4" t="s">
        <v>453</v>
      </c>
      <c r="D40" s="4" t="s">
        <v>441</v>
      </c>
      <c r="E40" s="5" t="s">
        <v>382</v>
      </c>
      <c r="F40" s="4" t="s">
        <v>443</v>
      </c>
      <c r="G40" s="6"/>
      <c r="H40" s="6"/>
      <c r="I40" s="6"/>
      <c r="J40" s="6"/>
      <c r="K40" s="6"/>
      <c r="L40" s="6"/>
      <c r="M40" s="6"/>
      <c r="N40" s="6"/>
      <c r="O40" s="6"/>
      <c r="P40" s="6"/>
      <c r="Q40" s="6"/>
      <c r="R40" s="6"/>
      <c r="S40" s="6"/>
      <c r="T40" s="6"/>
      <c r="U40" s="6"/>
      <c r="V40" s="6"/>
      <c r="W40" s="6"/>
      <c r="X40" s="6"/>
      <c r="Y40" s="6" t="s">
        <v>1533</v>
      </c>
      <c r="Z40" s="146" t="s">
        <v>418</v>
      </c>
      <c r="AA40" s="8" t="s">
        <v>746</v>
      </c>
      <c r="AB40" s="37" t="s">
        <v>518</v>
      </c>
      <c r="AC40" s="8"/>
      <c r="AD40" s="13" t="s">
        <v>1336</v>
      </c>
    </row>
    <row r="41" spans="1:30" ht="28.7" x14ac:dyDescent="0.5">
      <c r="A41" s="2" t="s">
        <v>1592</v>
      </c>
      <c r="B41" s="25" t="s">
        <v>430</v>
      </c>
      <c r="C41" s="4" t="s">
        <v>570</v>
      </c>
      <c r="D41" s="6"/>
      <c r="E41" s="6"/>
      <c r="F41" s="6"/>
      <c r="G41" s="6"/>
      <c r="H41" s="6"/>
      <c r="I41" s="6"/>
      <c r="J41" s="6"/>
      <c r="K41" s="6"/>
      <c r="L41" s="6"/>
      <c r="M41" s="6"/>
      <c r="N41" s="6"/>
      <c r="O41" s="6"/>
      <c r="P41" s="6"/>
      <c r="Q41" s="6"/>
      <c r="R41" s="6"/>
      <c r="S41" s="6"/>
      <c r="T41" s="6"/>
      <c r="U41" s="6"/>
      <c r="V41" s="6"/>
      <c r="W41" s="6"/>
      <c r="X41" s="6"/>
      <c r="Y41" s="6" t="s">
        <v>1534</v>
      </c>
      <c r="Z41" s="146" t="s">
        <v>430</v>
      </c>
      <c r="AA41" s="8" t="s">
        <v>746</v>
      </c>
      <c r="AB41" s="37" t="s">
        <v>518</v>
      </c>
      <c r="AC41" s="8"/>
      <c r="AD41" s="200" t="s">
        <v>1337</v>
      </c>
    </row>
    <row r="42" spans="1:30" ht="28.7" x14ac:dyDescent="0.5">
      <c r="A42" s="2" t="s">
        <v>1592</v>
      </c>
      <c r="B42" s="25" t="s">
        <v>431</v>
      </c>
      <c r="C42" s="4" t="s">
        <v>570</v>
      </c>
      <c r="D42" s="6"/>
      <c r="E42" s="6"/>
      <c r="F42" s="6"/>
      <c r="G42" s="6"/>
      <c r="H42" s="6"/>
      <c r="I42" s="6"/>
      <c r="J42" s="6"/>
      <c r="K42" s="6"/>
      <c r="L42" s="6"/>
      <c r="M42" s="6"/>
      <c r="N42" s="6"/>
      <c r="O42" s="4" t="s">
        <v>436</v>
      </c>
      <c r="P42" s="18" t="s">
        <v>437</v>
      </c>
      <c r="Q42" s="18" t="s">
        <v>437</v>
      </c>
      <c r="R42" s="6"/>
      <c r="S42" s="6"/>
      <c r="T42" s="6"/>
      <c r="U42" s="6"/>
      <c r="V42" s="6"/>
      <c r="W42" s="6"/>
      <c r="X42" s="6"/>
      <c r="Y42" s="6" t="s">
        <v>1535</v>
      </c>
      <c r="Z42" s="146" t="s">
        <v>431</v>
      </c>
      <c r="AA42" s="8" t="s">
        <v>746</v>
      </c>
      <c r="AB42" s="37" t="s">
        <v>518</v>
      </c>
      <c r="AC42" s="8"/>
      <c r="AD42" s="201"/>
    </row>
    <row r="43" spans="1:30" ht="28.7" x14ac:dyDescent="0.5">
      <c r="A43" s="2" t="s">
        <v>1592</v>
      </c>
      <c r="B43" s="25" t="s">
        <v>452</v>
      </c>
      <c r="C43" s="4" t="s">
        <v>570</v>
      </c>
      <c r="D43" s="6"/>
      <c r="E43" s="6"/>
      <c r="F43" s="6"/>
      <c r="G43" s="6"/>
      <c r="H43" s="6"/>
      <c r="I43" s="6"/>
      <c r="J43" s="6"/>
      <c r="K43" s="6"/>
      <c r="L43" s="6"/>
      <c r="M43" s="6"/>
      <c r="N43" s="6"/>
      <c r="O43" s="4" t="s">
        <v>436</v>
      </c>
      <c r="P43" s="18" t="s">
        <v>437</v>
      </c>
      <c r="Q43" s="18" t="s">
        <v>437</v>
      </c>
      <c r="R43" s="6"/>
      <c r="S43" s="6"/>
      <c r="T43" s="6"/>
      <c r="U43" s="6"/>
      <c r="V43" s="6"/>
      <c r="W43" s="6"/>
      <c r="X43" s="6"/>
      <c r="Y43" s="6" t="s">
        <v>1536</v>
      </c>
      <c r="Z43" s="146" t="s">
        <v>452</v>
      </c>
      <c r="AA43" s="8" t="s">
        <v>746</v>
      </c>
      <c r="AB43" s="37" t="s">
        <v>518</v>
      </c>
      <c r="AC43" s="8"/>
      <c r="AD43" s="201"/>
    </row>
    <row r="44" spans="1:30" ht="28.7" x14ac:dyDescent="0.5">
      <c r="A44" s="2" t="s">
        <v>1592</v>
      </c>
      <c r="B44" s="25" t="s">
        <v>432</v>
      </c>
      <c r="C44" s="4" t="s">
        <v>570</v>
      </c>
      <c r="D44" s="6"/>
      <c r="E44" s="6"/>
      <c r="F44" s="6"/>
      <c r="G44" s="6"/>
      <c r="H44" s="6"/>
      <c r="I44" s="6"/>
      <c r="J44" s="6"/>
      <c r="K44" s="6"/>
      <c r="L44" s="6"/>
      <c r="M44" s="6"/>
      <c r="N44" s="6"/>
      <c r="O44" s="4" t="s">
        <v>436</v>
      </c>
      <c r="P44" s="18" t="s">
        <v>437</v>
      </c>
      <c r="Q44" s="18" t="s">
        <v>437</v>
      </c>
      <c r="R44" s="18" t="s">
        <v>437</v>
      </c>
      <c r="S44" s="4" t="s">
        <v>438</v>
      </c>
      <c r="T44" s="6"/>
      <c r="U44" s="6"/>
      <c r="V44" s="6"/>
      <c r="W44" s="6"/>
      <c r="X44" s="6"/>
      <c r="Y44" s="6" t="s">
        <v>1537</v>
      </c>
      <c r="Z44" s="146" t="s">
        <v>432</v>
      </c>
      <c r="AA44" s="8" t="s">
        <v>746</v>
      </c>
      <c r="AB44" s="37" t="s">
        <v>518</v>
      </c>
      <c r="AC44" s="8"/>
      <c r="AD44" s="201"/>
    </row>
    <row r="45" spans="1:30" ht="28.7" x14ac:dyDescent="0.5">
      <c r="A45" s="2" t="s">
        <v>1592</v>
      </c>
      <c r="B45" s="25" t="s">
        <v>433</v>
      </c>
      <c r="C45" s="4" t="s">
        <v>570</v>
      </c>
      <c r="D45" s="6"/>
      <c r="E45" s="6"/>
      <c r="F45" s="6"/>
      <c r="G45" s="6"/>
      <c r="H45" s="6"/>
      <c r="I45" s="6"/>
      <c r="J45" s="6"/>
      <c r="K45" s="6"/>
      <c r="L45" s="6"/>
      <c r="M45" s="6"/>
      <c r="N45" s="6"/>
      <c r="O45" s="4" t="s">
        <v>436</v>
      </c>
      <c r="P45" s="18" t="s">
        <v>437</v>
      </c>
      <c r="Q45" s="18" t="s">
        <v>437</v>
      </c>
      <c r="R45" s="6"/>
      <c r="S45" s="6"/>
      <c r="T45" s="4" t="s">
        <v>439</v>
      </c>
      <c r="U45" s="4" t="s">
        <v>361</v>
      </c>
      <c r="V45" s="4" t="s">
        <v>362</v>
      </c>
      <c r="W45" s="4" t="s">
        <v>1600</v>
      </c>
      <c r="X45" s="4" t="s">
        <v>1601</v>
      </c>
      <c r="Y45" s="6" t="s">
        <v>1538</v>
      </c>
      <c r="Z45" s="146" t="s">
        <v>433</v>
      </c>
      <c r="AA45" s="8" t="s">
        <v>746</v>
      </c>
      <c r="AB45" s="37" t="s">
        <v>518</v>
      </c>
      <c r="AC45" s="8"/>
      <c r="AD45" s="202"/>
    </row>
    <row r="46" spans="1:30" x14ac:dyDescent="0.5">
      <c r="A46" s="2" t="s">
        <v>1592</v>
      </c>
      <c r="B46" s="25" t="s">
        <v>434</v>
      </c>
      <c r="C46" s="4" t="s">
        <v>570</v>
      </c>
      <c r="D46" s="6"/>
      <c r="E46" s="6"/>
      <c r="F46" s="6"/>
      <c r="G46" s="6"/>
      <c r="H46" s="6"/>
      <c r="I46" s="6"/>
      <c r="J46" s="6"/>
      <c r="K46" s="6"/>
      <c r="L46" s="6"/>
      <c r="M46" s="6"/>
      <c r="N46" s="6"/>
      <c r="O46" s="4" t="s">
        <v>436</v>
      </c>
      <c r="P46" s="18" t="s">
        <v>437</v>
      </c>
      <c r="Q46" s="18" t="s">
        <v>437</v>
      </c>
      <c r="R46" s="18" t="s">
        <v>437</v>
      </c>
      <c r="S46" s="4" t="s">
        <v>438</v>
      </c>
      <c r="T46" s="6"/>
      <c r="U46" s="6"/>
      <c r="V46" s="6"/>
      <c r="W46" s="6"/>
      <c r="X46" s="6"/>
      <c r="Y46" s="6" t="s">
        <v>1539</v>
      </c>
      <c r="Z46" s="146" t="s">
        <v>434</v>
      </c>
      <c r="AA46" s="8" t="s">
        <v>746</v>
      </c>
      <c r="AB46" s="37" t="s">
        <v>518</v>
      </c>
      <c r="AC46" s="8"/>
      <c r="AD46" s="200" t="s">
        <v>1336</v>
      </c>
    </row>
    <row r="47" spans="1:30" x14ac:dyDescent="0.5">
      <c r="A47" s="2" t="s">
        <v>1592</v>
      </c>
      <c r="B47" s="25" t="s">
        <v>435</v>
      </c>
      <c r="C47" s="4" t="s">
        <v>570</v>
      </c>
      <c r="D47" s="6"/>
      <c r="E47" s="6"/>
      <c r="F47" s="6"/>
      <c r="G47" s="6"/>
      <c r="H47" s="6"/>
      <c r="I47" s="6"/>
      <c r="J47" s="6"/>
      <c r="K47" s="6"/>
      <c r="L47" s="6"/>
      <c r="M47" s="6"/>
      <c r="N47" s="6"/>
      <c r="O47" s="4" t="s">
        <v>436</v>
      </c>
      <c r="P47" s="18" t="s">
        <v>437</v>
      </c>
      <c r="Q47" s="18" t="s">
        <v>437</v>
      </c>
      <c r="R47" s="18" t="s">
        <v>437</v>
      </c>
      <c r="S47" s="4" t="s">
        <v>438</v>
      </c>
      <c r="T47" s="6"/>
      <c r="U47" s="6"/>
      <c r="V47" s="6"/>
      <c r="W47" s="6"/>
      <c r="X47" s="6"/>
      <c r="Y47" s="6" t="s">
        <v>1540</v>
      </c>
      <c r="Z47" s="146" t="s">
        <v>435</v>
      </c>
      <c r="AA47" s="37" t="s">
        <v>746</v>
      </c>
      <c r="AB47" s="37" t="s">
        <v>518</v>
      </c>
      <c r="AC47" s="8"/>
      <c r="AD47" s="201"/>
    </row>
    <row r="48" spans="1:30" x14ac:dyDescent="0.5">
      <c r="A48" s="2" t="s">
        <v>4</v>
      </c>
      <c r="B48" s="3" t="s">
        <v>592</v>
      </c>
      <c r="C48" s="6"/>
      <c r="D48" s="4" t="s">
        <v>1447</v>
      </c>
      <c r="E48" s="4" t="s">
        <v>1574</v>
      </c>
      <c r="F48" s="4" t="s">
        <v>695</v>
      </c>
      <c r="G48" s="6"/>
      <c r="H48" s="6"/>
      <c r="I48" s="6"/>
      <c r="J48" s="6"/>
      <c r="K48" s="6"/>
      <c r="L48" s="6"/>
      <c r="M48" s="6"/>
      <c r="N48" s="6"/>
      <c r="O48" s="6"/>
      <c r="P48" s="6"/>
      <c r="Q48" s="6"/>
      <c r="R48" s="6"/>
      <c r="S48" s="6"/>
      <c r="T48" s="6"/>
      <c r="U48" s="6"/>
      <c r="V48" s="6"/>
      <c r="W48" s="6"/>
      <c r="X48" s="6"/>
      <c r="Y48" s="6" t="s">
        <v>1541</v>
      </c>
      <c r="Z48" s="146" t="s">
        <v>592</v>
      </c>
      <c r="AA48" s="8" t="s">
        <v>746</v>
      </c>
      <c r="AB48" s="37" t="s">
        <v>518</v>
      </c>
      <c r="AC48" s="154" t="s">
        <v>1321</v>
      </c>
      <c r="AD48" s="201"/>
    </row>
    <row r="49" spans="1:30" x14ac:dyDescent="0.5">
      <c r="A49" s="2" t="s">
        <v>4</v>
      </c>
      <c r="B49" s="3" t="s">
        <v>593</v>
      </c>
      <c r="C49" s="6"/>
      <c r="D49" s="4" t="s">
        <v>441</v>
      </c>
      <c r="E49" s="6"/>
      <c r="F49" s="6"/>
      <c r="G49" s="6"/>
      <c r="H49" s="6"/>
      <c r="I49" s="6"/>
      <c r="J49" s="6"/>
      <c r="K49" s="6"/>
      <c r="L49" s="6"/>
      <c r="M49" s="6"/>
      <c r="N49" s="6"/>
      <c r="O49" s="6"/>
      <c r="P49" s="6"/>
      <c r="Q49" s="6"/>
      <c r="R49" s="6"/>
      <c r="S49" s="6"/>
      <c r="T49" s="6"/>
      <c r="U49" s="6"/>
      <c r="V49" s="6"/>
      <c r="W49" s="6"/>
      <c r="X49" s="6"/>
      <c r="Y49" s="6" t="s">
        <v>1542</v>
      </c>
      <c r="Z49" s="146" t="s">
        <v>593</v>
      </c>
      <c r="AA49" s="8" t="s">
        <v>746</v>
      </c>
      <c r="AB49" s="37" t="s">
        <v>518</v>
      </c>
      <c r="AC49" s="154" t="s">
        <v>1322</v>
      </c>
      <c r="AD49" s="201"/>
    </row>
    <row r="50" spans="1:30" x14ac:dyDescent="0.5">
      <c r="A50" s="2" t="s">
        <v>4</v>
      </c>
      <c r="B50" s="3" t="s">
        <v>594</v>
      </c>
      <c r="C50" s="6"/>
      <c r="D50" s="4" t="s">
        <v>441</v>
      </c>
      <c r="E50" s="4" t="s">
        <v>595</v>
      </c>
      <c r="F50" s="4" t="s">
        <v>596</v>
      </c>
      <c r="G50" s="6"/>
      <c r="H50" s="6"/>
      <c r="I50" s="6"/>
      <c r="J50" s="6"/>
      <c r="K50" s="6"/>
      <c r="L50" s="6"/>
      <c r="M50" s="6"/>
      <c r="N50" s="6"/>
      <c r="O50" s="6"/>
      <c r="P50" s="6"/>
      <c r="Q50" s="6"/>
      <c r="R50" s="6"/>
      <c r="S50" s="6"/>
      <c r="T50" s="6"/>
      <c r="U50" s="6"/>
      <c r="V50" s="6"/>
      <c r="W50" s="6"/>
      <c r="X50" s="6"/>
      <c r="Y50" s="6" t="s">
        <v>1543</v>
      </c>
      <c r="Z50" s="146" t="s">
        <v>594</v>
      </c>
      <c r="AA50" s="8" t="s">
        <v>746</v>
      </c>
      <c r="AB50" s="37" t="s">
        <v>518</v>
      </c>
      <c r="AC50" s="154" t="s">
        <v>1322</v>
      </c>
      <c r="AD50" s="201"/>
    </row>
    <row r="51" spans="1:30" x14ac:dyDescent="0.5">
      <c r="A51" s="2" t="s">
        <v>4</v>
      </c>
      <c r="B51" s="3" t="s">
        <v>597</v>
      </c>
      <c r="C51" s="6"/>
      <c r="D51" s="4" t="s">
        <v>441</v>
      </c>
      <c r="E51" s="6"/>
      <c r="F51" s="6"/>
      <c r="G51" s="6"/>
      <c r="H51" s="6"/>
      <c r="I51" s="6"/>
      <c r="J51" s="6"/>
      <c r="K51" s="6"/>
      <c r="L51" s="6"/>
      <c r="M51" s="6"/>
      <c r="N51" s="6"/>
      <c r="O51" s="6"/>
      <c r="P51" s="6"/>
      <c r="Q51" s="6"/>
      <c r="R51" s="6"/>
      <c r="S51" s="6"/>
      <c r="T51" s="6"/>
      <c r="U51" s="6"/>
      <c r="V51" s="6"/>
      <c r="W51" s="6"/>
      <c r="X51" s="6"/>
      <c r="Y51" s="6" t="s">
        <v>1544</v>
      </c>
      <c r="Z51" s="146" t="s">
        <v>597</v>
      </c>
      <c r="AA51" s="8" t="s">
        <v>746</v>
      </c>
      <c r="AB51" s="37" t="s">
        <v>518</v>
      </c>
      <c r="AC51" s="154" t="s">
        <v>1323</v>
      </c>
      <c r="AD51" s="201"/>
    </row>
    <row r="52" spans="1:30" x14ac:dyDescent="0.5">
      <c r="A52" s="2" t="s">
        <v>1592</v>
      </c>
      <c r="B52" s="3" t="s">
        <v>608</v>
      </c>
      <c r="C52" s="4" t="s">
        <v>453</v>
      </c>
      <c r="D52" s="4" t="s">
        <v>676</v>
      </c>
      <c r="E52" s="6"/>
      <c r="F52" s="4" t="s">
        <v>380</v>
      </c>
      <c r="G52" s="6"/>
      <c r="H52" s="6"/>
      <c r="I52" s="6"/>
      <c r="J52" s="6"/>
      <c r="K52" s="6"/>
      <c r="L52" s="18" t="s">
        <v>394</v>
      </c>
      <c r="M52" s="18" t="s">
        <v>637</v>
      </c>
      <c r="N52" s="6"/>
      <c r="O52" s="6"/>
      <c r="P52" s="6"/>
      <c r="Q52" s="6"/>
      <c r="R52" s="6"/>
      <c r="S52" s="6"/>
      <c r="T52" s="6"/>
      <c r="U52" s="6"/>
      <c r="V52" s="6"/>
      <c r="W52" s="6"/>
      <c r="X52" s="6"/>
      <c r="Y52" s="6" t="s">
        <v>1545</v>
      </c>
      <c r="Z52" s="146" t="s">
        <v>608</v>
      </c>
      <c r="AA52" s="8" t="s">
        <v>746</v>
      </c>
      <c r="AB52" s="37" t="s">
        <v>518</v>
      </c>
      <c r="AC52" s="8"/>
      <c r="AD52" s="201"/>
    </row>
    <row r="53" spans="1:30" x14ac:dyDescent="0.5">
      <c r="A53" s="2" t="s">
        <v>1592</v>
      </c>
      <c r="B53" s="3" t="s">
        <v>609</v>
      </c>
      <c r="C53" s="4" t="s">
        <v>453</v>
      </c>
      <c r="D53" s="4" t="s">
        <v>676</v>
      </c>
      <c r="E53" s="6"/>
      <c r="F53" s="6"/>
      <c r="G53" s="6"/>
      <c r="H53" s="6"/>
      <c r="I53" s="6"/>
      <c r="J53" s="6"/>
      <c r="K53" s="6"/>
      <c r="L53" s="18" t="s">
        <v>610</v>
      </c>
      <c r="M53" s="18" t="s">
        <v>455</v>
      </c>
      <c r="N53" s="6"/>
      <c r="O53" s="6"/>
      <c r="P53" s="6"/>
      <c r="Q53" s="6"/>
      <c r="R53" s="6"/>
      <c r="S53" s="6"/>
      <c r="T53" s="6"/>
      <c r="U53" s="6"/>
      <c r="V53" s="6"/>
      <c r="W53" s="6"/>
      <c r="X53" s="6"/>
      <c r="Y53" s="6" t="s">
        <v>1546</v>
      </c>
      <c r="Z53" s="146" t="s">
        <v>609</v>
      </c>
      <c r="AA53" s="8" t="s">
        <v>746</v>
      </c>
      <c r="AB53" s="37" t="s">
        <v>518</v>
      </c>
      <c r="AC53" s="153" t="s">
        <v>1316</v>
      </c>
      <c r="AD53" s="201"/>
    </row>
    <row r="54" spans="1:30" x14ac:dyDescent="0.5">
      <c r="A54" s="2" t="s">
        <v>1592</v>
      </c>
      <c r="B54" s="3" t="s">
        <v>611</v>
      </c>
      <c r="C54" s="6"/>
      <c r="D54" s="4" t="s">
        <v>676</v>
      </c>
      <c r="E54" s="6"/>
      <c r="F54" s="6"/>
      <c r="G54" s="6"/>
      <c r="H54" s="6"/>
      <c r="I54" s="6"/>
      <c r="J54" s="6"/>
      <c r="K54" s="6"/>
      <c r="L54" s="6"/>
      <c r="M54" s="6"/>
      <c r="N54" s="6"/>
      <c r="O54" s="6"/>
      <c r="P54" s="6"/>
      <c r="Q54" s="6"/>
      <c r="R54" s="6"/>
      <c r="S54" s="6"/>
      <c r="T54" s="6"/>
      <c r="U54" s="6"/>
      <c r="V54" s="6"/>
      <c r="W54" s="6"/>
      <c r="X54" s="6"/>
      <c r="Y54" s="6" t="s">
        <v>1547</v>
      </c>
      <c r="Z54" s="146" t="s">
        <v>611</v>
      </c>
      <c r="AA54" s="8" t="s">
        <v>746</v>
      </c>
      <c r="AB54" s="37" t="s">
        <v>518</v>
      </c>
      <c r="AC54" s="153" t="s">
        <v>1317</v>
      </c>
      <c r="AD54" s="201"/>
    </row>
    <row r="55" spans="1:30" x14ac:dyDescent="0.5">
      <c r="A55" s="2" t="s">
        <v>1592</v>
      </c>
      <c r="B55" s="3" t="s">
        <v>612</v>
      </c>
      <c r="C55" s="6"/>
      <c r="D55" s="4" t="s">
        <v>676</v>
      </c>
      <c r="E55" s="4" t="s">
        <v>383</v>
      </c>
      <c r="F55" s="6"/>
      <c r="G55" s="6"/>
      <c r="H55" s="6"/>
      <c r="I55" s="6"/>
      <c r="J55" s="6"/>
      <c r="K55" s="6"/>
      <c r="L55" s="6"/>
      <c r="M55" s="6"/>
      <c r="N55" s="6"/>
      <c r="O55" s="6"/>
      <c r="P55" s="6"/>
      <c r="Q55" s="6"/>
      <c r="R55" s="6"/>
      <c r="S55" s="6"/>
      <c r="T55" s="6"/>
      <c r="U55" s="6"/>
      <c r="V55" s="6"/>
      <c r="W55" s="6"/>
      <c r="X55" s="6"/>
      <c r="Y55" s="6" t="s">
        <v>1548</v>
      </c>
      <c r="Z55" s="146" t="s">
        <v>612</v>
      </c>
      <c r="AA55" s="8" t="s">
        <v>746</v>
      </c>
      <c r="AB55" s="37" t="s">
        <v>518</v>
      </c>
      <c r="AC55" s="153" t="s">
        <v>1318</v>
      </c>
      <c r="AD55" s="201"/>
    </row>
    <row r="56" spans="1:30" x14ac:dyDescent="0.5">
      <c r="A56" s="2" t="s">
        <v>1592</v>
      </c>
      <c r="B56" s="3" t="s">
        <v>613</v>
      </c>
      <c r="C56" s="6"/>
      <c r="D56" s="4" t="s">
        <v>676</v>
      </c>
      <c r="E56" s="4" t="s">
        <v>677</v>
      </c>
      <c r="F56" s="4" t="s">
        <v>380</v>
      </c>
      <c r="G56" s="6"/>
      <c r="H56" s="6"/>
      <c r="I56" s="6"/>
      <c r="J56" s="6"/>
      <c r="K56" s="6"/>
      <c r="L56" s="6"/>
      <c r="M56" s="6"/>
      <c r="N56" s="6"/>
      <c r="O56" s="6"/>
      <c r="P56" s="6"/>
      <c r="Q56" s="6"/>
      <c r="R56" s="6"/>
      <c r="S56" s="6"/>
      <c r="T56" s="6"/>
      <c r="U56" s="6"/>
      <c r="V56" s="6"/>
      <c r="W56" s="6"/>
      <c r="X56" s="6"/>
      <c r="Y56" s="6" t="s">
        <v>1549</v>
      </c>
      <c r="Z56" s="146" t="s">
        <v>613</v>
      </c>
      <c r="AA56" s="8" t="s">
        <v>746</v>
      </c>
      <c r="AB56" s="37" t="s">
        <v>518</v>
      </c>
      <c r="AC56" s="153" t="s">
        <v>1319</v>
      </c>
      <c r="AD56" s="201"/>
    </row>
    <row r="57" spans="1:30" x14ac:dyDescent="0.5">
      <c r="A57" s="2" t="s">
        <v>1592</v>
      </c>
      <c r="B57" s="3" t="s">
        <v>614</v>
      </c>
      <c r="C57" s="6"/>
      <c r="D57" s="4" t="s">
        <v>676</v>
      </c>
      <c r="E57" s="6"/>
      <c r="F57" s="6"/>
      <c r="G57" s="6"/>
      <c r="H57" s="6"/>
      <c r="I57" s="6"/>
      <c r="J57" s="6"/>
      <c r="K57" s="6"/>
      <c r="L57" s="6"/>
      <c r="M57" s="6"/>
      <c r="N57" s="6"/>
      <c r="O57" s="6"/>
      <c r="P57" s="6"/>
      <c r="Q57" s="6"/>
      <c r="R57" s="6"/>
      <c r="S57" s="6"/>
      <c r="T57" s="6"/>
      <c r="U57" s="6"/>
      <c r="V57" s="6"/>
      <c r="W57" s="6"/>
      <c r="X57" s="6"/>
      <c r="Y57" s="6" t="s">
        <v>1550</v>
      </c>
      <c r="Z57" s="146" t="s">
        <v>614</v>
      </c>
      <c r="AA57" s="8" t="s">
        <v>746</v>
      </c>
      <c r="AB57" s="37" t="s">
        <v>518</v>
      </c>
      <c r="AC57" s="153" t="s">
        <v>1320</v>
      </c>
      <c r="AD57" s="201"/>
    </row>
    <row r="58" spans="1:30" x14ac:dyDescent="0.5">
      <c r="A58" s="2" t="s">
        <v>4</v>
      </c>
      <c r="B58" s="3" t="s">
        <v>625</v>
      </c>
      <c r="C58" s="4" t="s">
        <v>1442</v>
      </c>
      <c r="D58" s="4" t="s">
        <v>626</v>
      </c>
      <c r="E58" s="4" t="s">
        <v>627</v>
      </c>
      <c r="F58" s="4" t="s">
        <v>628</v>
      </c>
      <c r="G58" s="18" t="s">
        <v>217</v>
      </c>
      <c r="H58" s="6"/>
      <c r="I58" s="6"/>
      <c r="J58" s="6"/>
      <c r="K58" s="6"/>
      <c r="L58" s="6"/>
      <c r="M58" s="6"/>
      <c r="N58" s="6"/>
      <c r="O58" s="6"/>
      <c r="P58" s="6"/>
      <c r="Q58" s="6"/>
      <c r="R58" s="6"/>
      <c r="S58" s="6"/>
      <c r="T58" s="6"/>
      <c r="U58" s="6"/>
      <c r="V58" s="6"/>
      <c r="W58" s="6"/>
      <c r="X58" s="6"/>
      <c r="Y58" s="6" t="s">
        <v>1551</v>
      </c>
      <c r="Z58" s="146" t="s">
        <v>625</v>
      </c>
      <c r="AA58" s="8" t="s">
        <v>746</v>
      </c>
      <c r="AB58" s="37" t="s">
        <v>518</v>
      </c>
      <c r="AC58" s="8"/>
      <c r="AD58" s="201"/>
    </row>
    <row r="59" spans="1:30" x14ac:dyDescent="0.5">
      <c r="A59" s="2" t="s">
        <v>4</v>
      </c>
      <c r="B59" s="3" t="s">
        <v>629</v>
      </c>
      <c r="C59" s="4" t="s">
        <v>1442</v>
      </c>
      <c r="D59" s="4" t="s">
        <v>630</v>
      </c>
      <c r="E59" s="6"/>
      <c r="F59" s="4" t="s">
        <v>631</v>
      </c>
      <c r="G59" s="18" t="s">
        <v>217</v>
      </c>
      <c r="H59" s="6"/>
      <c r="I59" s="6"/>
      <c r="J59" s="6"/>
      <c r="K59" s="6"/>
      <c r="L59" s="6"/>
      <c r="M59" s="6"/>
      <c r="N59" s="6"/>
      <c r="O59" s="6"/>
      <c r="P59" s="6"/>
      <c r="Q59" s="6"/>
      <c r="R59" s="6"/>
      <c r="S59" s="6"/>
      <c r="T59" s="6"/>
      <c r="U59" s="6"/>
      <c r="V59" s="6"/>
      <c r="W59" s="6"/>
      <c r="X59" s="6"/>
      <c r="Y59" s="6" t="s">
        <v>1552</v>
      </c>
      <c r="Z59" s="146" t="s">
        <v>629</v>
      </c>
      <c r="AA59" s="8" t="s">
        <v>746</v>
      </c>
      <c r="AB59" s="37" t="s">
        <v>518</v>
      </c>
      <c r="AC59" s="8"/>
      <c r="AD59" s="201"/>
    </row>
    <row r="60" spans="1:30" x14ac:dyDescent="0.5">
      <c r="A60" s="2" t="s">
        <v>4</v>
      </c>
      <c r="B60" s="3" t="s">
        <v>632</v>
      </c>
      <c r="C60" s="6"/>
      <c r="D60" s="4" t="s">
        <v>633</v>
      </c>
      <c r="E60" s="6"/>
      <c r="F60" s="6"/>
      <c r="G60" s="6"/>
      <c r="H60" s="6"/>
      <c r="I60" s="6"/>
      <c r="J60" s="6"/>
      <c r="K60" s="6"/>
      <c r="L60" s="6"/>
      <c r="M60" s="6"/>
      <c r="N60" s="6"/>
      <c r="O60" s="6"/>
      <c r="P60" s="6"/>
      <c r="Q60" s="6"/>
      <c r="R60" s="6"/>
      <c r="S60" s="6"/>
      <c r="T60" s="6"/>
      <c r="U60" s="6"/>
      <c r="V60" s="6"/>
      <c r="W60" s="6"/>
      <c r="X60" s="6"/>
      <c r="Y60" s="6" t="s">
        <v>1553</v>
      </c>
      <c r="Z60" s="146" t="s">
        <v>632</v>
      </c>
      <c r="AA60" s="8" t="s">
        <v>746</v>
      </c>
      <c r="AB60" s="37" t="s">
        <v>518</v>
      </c>
      <c r="AC60" s="153" t="s">
        <v>1314</v>
      </c>
      <c r="AD60" s="201"/>
    </row>
    <row r="61" spans="1:30" x14ac:dyDescent="0.5">
      <c r="A61" s="2" t="s">
        <v>4</v>
      </c>
      <c r="B61" s="3" t="s">
        <v>634</v>
      </c>
      <c r="C61" s="6"/>
      <c r="D61" s="4" t="s">
        <v>633</v>
      </c>
      <c r="E61" s="6"/>
      <c r="F61" s="6"/>
      <c r="G61" s="6"/>
      <c r="H61" s="6"/>
      <c r="I61" s="6"/>
      <c r="J61" s="6"/>
      <c r="K61" s="6"/>
      <c r="L61" s="6"/>
      <c r="M61" s="6"/>
      <c r="N61" s="6"/>
      <c r="O61" s="6"/>
      <c r="P61" s="6"/>
      <c r="Q61" s="6"/>
      <c r="R61" s="6"/>
      <c r="S61" s="6"/>
      <c r="T61" s="6"/>
      <c r="U61" s="6"/>
      <c r="V61" s="6"/>
      <c r="W61" s="6"/>
      <c r="X61" s="6"/>
      <c r="Y61" s="6" t="s">
        <v>1554</v>
      </c>
      <c r="Z61" s="146" t="s">
        <v>634</v>
      </c>
      <c r="AA61" s="8" t="s">
        <v>746</v>
      </c>
      <c r="AB61" s="37" t="s">
        <v>518</v>
      </c>
      <c r="AC61" s="153" t="s">
        <v>1315</v>
      </c>
      <c r="AD61" s="201"/>
    </row>
    <row r="62" spans="1:30" x14ac:dyDescent="0.5">
      <c r="A62" s="16" t="s">
        <v>4</v>
      </c>
      <c r="B62" s="3" t="s">
        <v>635</v>
      </c>
      <c r="C62" s="6"/>
      <c r="D62" s="4" t="s">
        <v>633</v>
      </c>
      <c r="E62" s="6"/>
      <c r="F62" s="6"/>
      <c r="G62" s="6"/>
      <c r="H62" s="6"/>
      <c r="I62" s="6"/>
      <c r="J62" s="6"/>
      <c r="K62" s="6"/>
      <c r="L62" s="6"/>
      <c r="M62" s="6"/>
      <c r="N62" s="6"/>
      <c r="O62" s="6"/>
      <c r="P62" s="6"/>
      <c r="Q62" s="6"/>
      <c r="R62" s="6"/>
      <c r="S62" s="6"/>
      <c r="T62" s="6"/>
      <c r="U62" s="6"/>
      <c r="V62" s="6"/>
      <c r="W62" s="6"/>
      <c r="X62" s="6"/>
      <c r="Y62" s="6" t="s">
        <v>1555</v>
      </c>
      <c r="Z62" s="146" t="s">
        <v>635</v>
      </c>
      <c r="AA62" s="8" t="s">
        <v>746</v>
      </c>
      <c r="AB62" s="37" t="s">
        <v>518</v>
      </c>
      <c r="AC62" s="8"/>
      <c r="AD62" s="201"/>
    </row>
    <row r="63" spans="1:30" x14ac:dyDescent="0.5">
      <c r="A63" s="2" t="s">
        <v>4</v>
      </c>
      <c r="B63" s="3" t="s">
        <v>690</v>
      </c>
      <c r="C63" s="6"/>
      <c r="D63" s="4" t="s">
        <v>691</v>
      </c>
      <c r="E63" s="6"/>
      <c r="F63" s="4" t="s">
        <v>695</v>
      </c>
      <c r="G63" s="6"/>
      <c r="H63" s="6"/>
      <c r="I63" s="4" t="s">
        <v>18</v>
      </c>
      <c r="J63" s="6"/>
      <c r="K63" s="6"/>
      <c r="L63" s="6"/>
      <c r="M63" s="6"/>
      <c r="N63" s="6"/>
      <c r="O63" s="6"/>
      <c r="P63" s="6"/>
      <c r="Q63" s="6"/>
      <c r="R63" s="6"/>
      <c r="S63" s="6"/>
      <c r="T63" s="6"/>
      <c r="U63" s="6"/>
      <c r="V63" s="6"/>
      <c r="W63" s="6"/>
      <c r="X63" s="6"/>
      <c r="Y63" s="6" t="s">
        <v>1556</v>
      </c>
      <c r="Z63" s="146" t="s">
        <v>690</v>
      </c>
      <c r="AA63" s="8" t="s">
        <v>746</v>
      </c>
      <c r="AB63" s="37" t="s">
        <v>518</v>
      </c>
      <c r="AC63" s="8"/>
      <c r="AD63" s="201"/>
    </row>
    <row r="64" spans="1:30" x14ac:dyDescent="0.5">
      <c r="A64" s="2" t="s">
        <v>4</v>
      </c>
      <c r="B64" s="3" t="s">
        <v>1309</v>
      </c>
      <c r="C64" s="6"/>
      <c r="D64" s="6"/>
      <c r="E64" s="6"/>
      <c r="F64" s="6"/>
      <c r="G64" s="6"/>
      <c r="H64" s="6"/>
      <c r="I64" s="6"/>
      <c r="J64" s="6"/>
      <c r="K64" s="6"/>
      <c r="L64" s="6"/>
      <c r="M64" s="6"/>
      <c r="N64" s="6"/>
      <c r="O64" s="6"/>
      <c r="P64" s="6"/>
      <c r="Q64" s="6"/>
      <c r="R64" s="6"/>
      <c r="S64" s="6"/>
      <c r="T64" s="6"/>
      <c r="U64" s="6"/>
      <c r="V64" s="6"/>
      <c r="W64" s="6"/>
      <c r="X64" s="6"/>
      <c r="Y64" s="6" t="s">
        <v>1557</v>
      </c>
      <c r="Z64" s="146" t="s">
        <v>1309</v>
      </c>
      <c r="AA64" s="8" t="s">
        <v>746</v>
      </c>
      <c r="AB64" s="37" t="s">
        <v>518</v>
      </c>
      <c r="AC64" s="8"/>
      <c r="AD64" s="201"/>
    </row>
    <row r="65" spans="1:30" x14ac:dyDescent="0.5">
      <c r="A65" s="2" t="s">
        <v>4</v>
      </c>
      <c r="B65" s="3" t="s">
        <v>1310</v>
      </c>
      <c r="C65" s="6"/>
      <c r="D65" s="6"/>
      <c r="E65" s="6"/>
      <c r="F65" s="6"/>
      <c r="G65" s="6"/>
      <c r="H65" s="6"/>
      <c r="I65" s="6"/>
      <c r="J65" s="6"/>
      <c r="K65" s="6"/>
      <c r="L65" s="6"/>
      <c r="M65" s="6"/>
      <c r="N65" s="6"/>
      <c r="O65" s="6"/>
      <c r="P65" s="6"/>
      <c r="Q65" s="6"/>
      <c r="R65" s="6"/>
      <c r="S65" s="6"/>
      <c r="T65" s="6"/>
      <c r="U65" s="6"/>
      <c r="V65" s="6"/>
      <c r="W65" s="6"/>
      <c r="X65" s="6"/>
      <c r="Y65" s="6" t="s">
        <v>1558</v>
      </c>
      <c r="Z65" s="146" t="s">
        <v>1310</v>
      </c>
      <c r="AA65" s="8" t="s">
        <v>746</v>
      </c>
      <c r="AB65" s="37" t="s">
        <v>518</v>
      </c>
      <c r="AC65" s="8"/>
      <c r="AD65" s="201"/>
    </row>
    <row r="66" spans="1:30" x14ac:dyDescent="0.5">
      <c r="A66" s="2" t="s">
        <v>4</v>
      </c>
      <c r="B66" s="3" t="s">
        <v>1311</v>
      </c>
      <c r="C66" s="6"/>
      <c r="D66" s="6"/>
      <c r="E66" s="6"/>
      <c r="F66" s="6"/>
      <c r="G66" s="6"/>
      <c r="H66" s="6"/>
      <c r="I66" s="6"/>
      <c r="J66" s="6"/>
      <c r="K66" s="6"/>
      <c r="L66" s="6"/>
      <c r="M66" s="6"/>
      <c r="N66" s="6"/>
      <c r="O66" s="6"/>
      <c r="P66" s="6"/>
      <c r="Q66" s="6"/>
      <c r="R66" s="6"/>
      <c r="S66" s="6"/>
      <c r="T66" s="6"/>
      <c r="U66" s="6"/>
      <c r="V66" s="6"/>
      <c r="W66" s="6"/>
      <c r="X66" s="6"/>
      <c r="Y66" s="6"/>
      <c r="Z66" s="146" t="s">
        <v>1311</v>
      </c>
      <c r="AA66" s="8" t="s">
        <v>746</v>
      </c>
      <c r="AB66" s="37" t="s">
        <v>518</v>
      </c>
      <c r="AC66" s="152" t="s">
        <v>1313</v>
      </c>
      <c r="AD66" s="201"/>
    </row>
    <row r="67" spans="1:30" x14ac:dyDescent="0.5">
      <c r="A67" s="2" t="s">
        <v>4</v>
      </c>
      <c r="B67" s="3" t="s">
        <v>1312</v>
      </c>
      <c r="C67" s="6"/>
      <c r="D67" s="6"/>
      <c r="E67" s="6"/>
      <c r="F67" s="6"/>
      <c r="G67" s="6"/>
      <c r="H67" s="6"/>
      <c r="I67" s="6"/>
      <c r="J67" s="6"/>
      <c r="K67" s="6"/>
      <c r="L67" s="6"/>
      <c r="M67" s="6"/>
      <c r="N67" s="6"/>
      <c r="O67" s="6"/>
      <c r="P67" s="6"/>
      <c r="Q67" s="6"/>
      <c r="R67" s="6"/>
      <c r="S67" s="6"/>
      <c r="T67" s="6"/>
      <c r="U67" s="6"/>
      <c r="V67" s="6"/>
      <c r="W67" s="6"/>
      <c r="X67" s="6"/>
      <c r="Y67" s="6"/>
      <c r="Z67" s="146" t="s">
        <v>1312</v>
      </c>
      <c r="AA67" s="8" t="s">
        <v>746</v>
      </c>
      <c r="AB67" s="37" t="s">
        <v>518</v>
      </c>
      <c r="AC67" s="152" t="s">
        <v>1313</v>
      </c>
      <c r="AD67" s="202"/>
    </row>
  </sheetData>
  <sheetProtection selectLockedCells="1" selectUnlockedCells="1"/>
  <mergeCells count="6">
    <mergeCell ref="AD33:AD39"/>
    <mergeCell ref="AD9:AD14"/>
    <mergeCell ref="AD2:AD8"/>
    <mergeCell ref="AD15:AD32"/>
    <mergeCell ref="AD46:AD67"/>
    <mergeCell ref="AD41:AD45"/>
  </mergeCells>
  <conditionalFormatting sqref="D3:D4">
    <cfRule type="expression" dxfId="34" priority="3">
      <formula>LEN(D3)-LEN(SUBSTITUTE(D3,";","")) - ( LEN($D2)-LEN(SUBSTITUTE($D2,";","")))</formula>
    </cfRule>
  </conditionalFormatting>
  <conditionalFormatting sqref="D6">
    <cfRule type="expression" dxfId="33" priority="6">
      <formula>LEN(D6)-LEN(SUBSTITUTE(D6,";","")) - ( LEN($D4)-LEN(SUBSTITUTE($D4,";","")))</formula>
    </cfRule>
  </conditionalFormatting>
  <conditionalFormatting sqref="D10:D11">
    <cfRule type="expression" dxfId="32" priority="4">
      <formula>LEN(D10)-LEN(SUBSTITUTE(D10,";","")) - ( LEN($D9)-LEN(SUBSTITUTE($D9,";","")))</formula>
    </cfRule>
  </conditionalFormatting>
  <conditionalFormatting sqref="D39">
    <cfRule type="expression" dxfId="31" priority="23">
      <formula>LEN(D38)-LEN(SUBSTITUTE(D38,";","")) - ( LEN(D39)-LEN(SUBSTITUTE(D39,";","")))</formula>
    </cfRule>
    <cfRule type="expression" dxfId="30" priority="9">
      <formula>LEN(D39)-LEN(SUBSTITUTE(D39,";","")) - ( LEN($D37)-LEN(SUBSTITUTE($D37,";","")))</formula>
    </cfRule>
    <cfRule type="expression" dxfId="29" priority="24">
      <formula>LEN(D38)-LEN(SUBSTITUTE(D38,";","")) - ( LEN($C36)-LEN(SUBSTITUTE($C36,";","")))</formula>
    </cfRule>
  </conditionalFormatting>
  <conditionalFormatting sqref="D49">
    <cfRule type="expression" dxfId="28" priority="19">
      <formula>LEN(D50)-LEN(SUBSTITUTE(D50,";","")) - ( LEN($D49)-LEN(SUBSTITUTE($D49,";","")))</formula>
    </cfRule>
  </conditionalFormatting>
  <conditionalFormatting sqref="D51">
    <cfRule type="expression" dxfId="27" priority="18">
      <formula>LEN(D50)-LEN(SUBSTITUTE(D50,";","")) - ( LEN($D51)-LEN(SUBSTITUTE($D51,";","")))</formula>
    </cfRule>
  </conditionalFormatting>
  <conditionalFormatting sqref="D54">
    <cfRule type="expression" dxfId="26" priority="16">
      <formula>LEN(D54)-LEN(SUBSTITUTE(D54,";","")) - ( LEN($D53)-LEN(SUBSTITUTE($D53,";","")))</formula>
    </cfRule>
  </conditionalFormatting>
  <conditionalFormatting sqref="D57">
    <cfRule type="expression" dxfId="25" priority="13">
      <formula>LEN(D57)-LEN(SUBSTITUTE(D57,";","")) - ( LEN($D54)-LEN(SUBSTITUTE($D54,";","")))</formula>
    </cfRule>
    <cfRule type="expression" dxfId="24" priority="14">
      <formula>LEN(D57)-LEN(SUBSTITUTE(D57,";","")) - ( LEN($D56)-LEN(SUBSTITUTE($D56,";","")))</formula>
    </cfRule>
  </conditionalFormatting>
  <conditionalFormatting sqref="D61:D62">
    <cfRule type="expression" dxfId="23" priority="10">
      <formula>LEN(D61)-LEN(SUBSTITUTE(D61,";","")) - ( LEN($D60)-LEN(SUBSTITUTE($D60,";","")))</formula>
    </cfRule>
  </conditionalFormatting>
  <conditionalFormatting sqref="D8:G8">
    <cfRule type="expression" dxfId="22" priority="2">
      <formula>LEN(D8)-LEN(SUBSTITUTE(D8,";","")) - ( LEN($C8)-LEN(SUBSTITUTE($C8,";","")))</formula>
    </cfRule>
  </conditionalFormatting>
  <conditionalFormatting sqref="D29:K29 M29:X29 D30:X30 D31:G31 I31:X31 D32:X34">
    <cfRule type="expression" dxfId="21" priority="29">
      <formula>LEN(D29)-LEN(SUBSTITUTE(D29,";","")) - ( LEN($C29)-LEN(SUBSTITUTE($C29,";","")))</formula>
    </cfRule>
  </conditionalFormatting>
  <conditionalFormatting sqref="D2:N2">
    <cfRule type="expression" dxfId="20" priority="36">
      <formula>LEN(D2)-LEN(SUBSTITUTE(D2,";","")) - ( LEN($C2)-LEN(SUBSTITUTE($C2,";","")))</formula>
    </cfRule>
  </conditionalFormatting>
  <conditionalFormatting sqref="D7:N7">
    <cfRule type="expression" dxfId="19" priority="34">
      <formula>LEN(D7)-LEN(SUBSTITUTE(D7,";","")) - ( LEN($C7)-LEN(SUBSTITUTE($C7,";","")))</formula>
    </cfRule>
  </conditionalFormatting>
  <conditionalFormatting sqref="D15:N25">
    <cfRule type="expression" dxfId="18" priority="32">
      <formula>LEN(D15)-LEN(SUBSTITUTE(D15,";","")) - ( LEN($C15)-LEN(SUBSTITUTE($C15,";","")))</formula>
    </cfRule>
  </conditionalFormatting>
  <conditionalFormatting sqref="D36:X36">
    <cfRule type="expression" dxfId="17" priority="27">
      <formula>LEN(D36)-LEN(SUBSTITUTE(D36,";","")) - ( LEN($C36)-LEN(SUBSTITUTE($C36,";","")))</formula>
    </cfRule>
  </conditionalFormatting>
  <conditionalFormatting sqref="D37:X37">
    <cfRule type="expression" dxfId="16" priority="26">
      <formula>LEN(D37)-LEN(SUBSTITUTE(D37,";","")) - ( LEN($C36)-LEN(SUBSTITUTE($C36,";","")))</formula>
    </cfRule>
  </conditionalFormatting>
  <conditionalFormatting sqref="D40:X40">
    <cfRule type="expression" dxfId="15" priority="8">
      <formula>LEN(D40)-LEN(SUBSTITUTE(D40,";","")) - ( LEN($C40)-LEN(SUBSTITUTE($C40,";","")))</formula>
    </cfRule>
  </conditionalFormatting>
  <conditionalFormatting sqref="D42:X47">
    <cfRule type="expression" dxfId="14" priority="22">
      <formula>LEN(D42)-LEN(SUBSTITUTE(D42,";","")) - ( LEN($C42)-LEN(SUBSTITUTE($C42,";","")))</formula>
    </cfRule>
  </conditionalFormatting>
  <conditionalFormatting sqref="D52:X53">
    <cfRule type="expression" dxfId="13" priority="17">
      <formula>LEN(D52)-LEN(SUBSTITUTE(D52,";","")) - ( LEN($C52)-LEN(SUBSTITUTE($C52,";","")))</formula>
    </cfRule>
  </conditionalFormatting>
  <conditionalFormatting sqref="D58:X59">
    <cfRule type="expression" dxfId="12" priority="12">
      <formula>LEN(D58)-LEN(SUBSTITUTE(D58,";","")) - ( LEN($C58)-LEN(SUBSTITUTE($C58,";","")))</formula>
    </cfRule>
  </conditionalFormatting>
  <conditionalFormatting sqref="E28:K28 M28:N28">
    <cfRule type="expression" dxfId="11" priority="30">
      <formula>LEN(E28)-LEN(SUBSTITUTE(E28,";","")) - ( LEN($D28)-LEN(SUBSTITUTE($D28,";","")))</formula>
    </cfRule>
  </conditionalFormatting>
  <conditionalFormatting sqref="E3:N6">
    <cfRule type="expression" dxfId="10" priority="1">
      <formula>LEN(E3)-LEN(SUBSTITUTE(E3,";","")) - ( LEN($D3)-LEN(SUBSTITUTE($D3,";","")))</formula>
    </cfRule>
  </conditionalFormatting>
  <conditionalFormatting sqref="E26:N26 D27:N27">
    <cfRule type="expression" dxfId="9" priority="31">
      <formula>LEN(D26)-LEN(SUBSTITUTE(D26,";","")) - ( LEN($C26)-LEN(SUBSTITUTE($C26,";","")))</formula>
    </cfRule>
  </conditionalFormatting>
  <conditionalFormatting sqref="E35:X35">
    <cfRule type="expression" dxfId="8" priority="28">
      <formula>LEN(E35)-LEN(SUBSTITUTE(E35,";","")) - ( LEN($D35)-LEN(SUBSTITUTE($D35,";","")))</formula>
    </cfRule>
  </conditionalFormatting>
  <conditionalFormatting sqref="E38:X40">
    <cfRule type="expression" dxfId="7" priority="25">
      <formula>LEN(E38)-LEN(SUBSTITUTE(E38,";","")) - ( LEN($D38)-LEN(SUBSTITUTE($D38,";","")))</formula>
    </cfRule>
  </conditionalFormatting>
  <conditionalFormatting sqref="E48:X48">
    <cfRule type="expression" dxfId="6" priority="21">
      <formula>LEN(E48)-LEN(SUBSTITUTE(E48,";","")) - ( LEN($D48)-LEN(SUBSTITUTE($D48,";","")))</formula>
    </cfRule>
  </conditionalFormatting>
  <conditionalFormatting sqref="E50:X50">
    <cfRule type="expression" dxfId="5" priority="20">
      <formula>LEN(E50)-LEN(SUBSTITUTE(E50,";","")) - ( LEN($D50)-LEN(SUBSTITUTE($D50,";","")))</formula>
    </cfRule>
  </conditionalFormatting>
  <conditionalFormatting sqref="E55:X57">
    <cfRule type="expression" dxfId="4" priority="15">
      <formula>LEN(E55)-LEN(SUBSTITUTE(E55,";","")) - ( LEN($D55)-LEN(SUBSTITUTE($D55,";","")))</formula>
    </cfRule>
  </conditionalFormatting>
  <conditionalFormatting sqref="F63:X63">
    <cfRule type="expression" dxfId="3" priority="11">
      <formula>LEN(F63)-LEN(SUBSTITUTE(F63,";","")) - ( LEN($D63)-LEN(SUBSTITUTE($D63,";","")))</formula>
    </cfRule>
  </conditionalFormatting>
  <conditionalFormatting sqref="H8:N8 E9:N14">
    <cfRule type="expression" dxfId="2" priority="33">
      <formula>LEN(E8)-LEN(SUBSTITUTE(E8,";","")) - ( LEN($D8)-LEN(SUBSTITUTE($D8,";","")))</formula>
    </cfRule>
  </conditionalFormatting>
  <pageMargins left="0.7" right="0.7" top="0.75" bottom="0.75" header="0.3" footer="0.3"/>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80578" r:id="rId4" name="Label 2">
              <controlPr defaultSize="0" autoFill="0" autoLine="0" autoPict="0">
                <anchor moveWithCells="1" sizeWithCells="1">
                  <from>
                    <xdr:col>26</xdr:col>
                    <xdr:colOff>71967</xdr:colOff>
                    <xdr:row>1</xdr:row>
                    <xdr:rowOff>152400</xdr:rowOff>
                  </from>
                  <to>
                    <xdr:col>26</xdr:col>
                    <xdr:colOff>605367</xdr:colOff>
                    <xdr:row>2</xdr:row>
                    <xdr:rowOff>148167</xdr:rowOff>
                  </to>
                </anchor>
              </controlPr>
            </control>
          </mc:Choice>
        </mc:AlternateContent>
        <mc:AlternateContent xmlns:mc="http://schemas.openxmlformats.org/markup-compatibility/2006">
          <mc:Choice Requires="x14">
            <control shapeId="280920" r:id="rId5" name="Label 344">
              <controlPr defaultSize="0" autoFill="0" autoLine="0" autoPict="0">
                <anchor moveWithCells="1" sizeWithCells="1">
                  <from>
                    <xdr:col>26</xdr:col>
                    <xdr:colOff>59267</xdr:colOff>
                    <xdr:row>2</xdr:row>
                    <xdr:rowOff>12700</xdr:rowOff>
                  </from>
                  <to>
                    <xdr:col>26</xdr:col>
                    <xdr:colOff>592667</xdr:colOff>
                    <xdr:row>3</xdr:row>
                    <xdr:rowOff>8467</xdr:rowOff>
                  </to>
                </anchor>
              </controlPr>
            </control>
          </mc:Choice>
        </mc:AlternateContent>
        <mc:AlternateContent xmlns:mc="http://schemas.openxmlformats.org/markup-compatibility/2006">
          <mc:Choice Requires="x14">
            <control shapeId="280921" r:id="rId6" name="Label 345">
              <controlPr defaultSize="0" autoFill="0" autoLine="0" autoPict="0">
                <anchor moveWithCells="1" sizeWithCells="1">
                  <from>
                    <xdr:col>26</xdr:col>
                    <xdr:colOff>59267</xdr:colOff>
                    <xdr:row>3</xdr:row>
                    <xdr:rowOff>12700</xdr:rowOff>
                  </from>
                  <to>
                    <xdr:col>26</xdr:col>
                    <xdr:colOff>592667</xdr:colOff>
                    <xdr:row>4</xdr:row>
                    <xdr:rowOff>8467</xdr:rowOff>
                  </to>
                </anchor>
              </controlPr>
            </control>
          </mc:Choice>
        </mc:AlternateContent>
        <mc:AlternateContent xmlns:mc="http://schemas.openxmlformats.org/markup-compatibility/2006">
          <mc:Choice Requires="x14">
            <control shapeId="280922" r:id="rId7" name="Label 346">
              <controlPr defaultSize="0" autoFill="0" autoLine="0" autoPict="0">
                <anchor moveWithCells="1" sizeWithCells="1">
                  <from>
                    <xdr:col>26</xdr:col>
                    <xdr:colOff>59267</xdr:colOff>
                    <xdr:row>4</xdr:row>
                    <xdr:rowOff>12700</xdr:rowOff>
                  </from>
                  <to>
                    <xdr:col>26</xdr:col>
                    <xdr:colOff>592667</xdr:colOff>
                    <xdr:row>5</xdr:row>
                    <xdr:rowOff>8467</xdr:rowOff>
                  </to>
                </anchor>
              </controlPr>
            </control>
          </mc:Choice>
        </mc:AlternateContent>
        <mc:AlternateContent xmlns:mc="http://schemas.openxmlformats.org/markup-compatibility/2006">
          <mc:Choice Requires="x14">
            <control shapeId="280923" r:id="rId8" name="Label 347">
              <controlPr defaultSize="0" autoFill="0" autoLine="0" autoPict="0">
                <anchor moveWithCells="1" sizeWithCells="1">
                  <from>
                    <xdr:col>26</xdr:col>
                    <xdr:colOff>59267</xdr:colOff>
                    <xdr:row>5</xdr:row>
                    <xdr:rowOff>12700</xdr:rowOff>
                  </from>
                  <to>
                    <xdr:col>26</xdr:col>
                    <xdr:colOff>592667</xdr:colOff>
                    <xdr:row>6</xdr:row>
                    <xdr:rowOff>8467</xdr:rowOff>
                  </to>
                </anchor>
              </controlPr>
            </control>
          </mc:Choice>
        </mc:AlternateContent>
        <mc:AlternateContent xmlns:mc="http://schemas.openxmlformats.org/markup-compatibility/2006">
          <mc:Choice Requires="x14">
            <control shapeId="280924" r:id="rId9" name="Label 348">
              <controlPr defaultSize="0" autoFill="0" autoLine="0" autoPict="0">
                <anchor moveWithCells="1" sizeWithCells="1">
                  <from>
                    <xdr:col>26</xdr:col>
                    <xdr:colOff>59267</xdr:colOff>
                    <xdr:row>6</xdr:row>
                    <xdr:rowOff>12700</xdr:rowOff>
                  </from>
                  <to>
                    <xdr:col>26</xdr:col>
                    <xdr:colOff>592667</xdr:colOff>
                    <xdr:row>7</xdr:row>
                    <xdr:rowOff>8467</xdr:rowOff>
                  </to>
                </anchor>
              </controlPr>
            </control>
          </mc:Choice>
        </mc:AlternateContent>
        <mc:AlternateContent xmlns:mc="http://schemas.openxmlformats.org/markup-compatibility/2006">
          <mc:Choice Requires="x14">
            <control shapeId="280925" r:id="rId10" name="Label 349">
              <controlPr defaultSize="0" autoFill="0" autoLine="0" autoPict="0">
                <anchor moveWithCells="1" sizeWithCells="1">
                  <from>
                    <xdr:col>26</xdr:col>
                    <xdr:colOff>59267</xdr:colOff>
                    <xdr:row>7</xdr:row>
                    <xdr:rowOff>12700</xdr:rowOff>
                  </from>
                  <to>
                    <xdr:col>26</xdr:col>
                    <xdr:colOff>592667</xdr:colOff>
                    <xdr:row>8</xdr:row>
                    <xdr:rowOff>8467</xdr:rowOff>
                  </to>
                </anchor>
              </controlPr>
            </control>
          </mc:Choice>
        </mc:AlternateContent>
        <mc:AlternateContent xmlns:mc="http://schemas.openxmlformats.org/markup-compatibility/2006">
          <mc:Choice Requires="x14">
            <control shapeId="280926" r:id="rId11" name="Label 350">
              <controlPr defaultSize="0" autoFill="0" autoLine="0" autoPict="0">
                <anchor moveWithCells="1" sizeWithCells="1">
                  <from>
                    <xdr:col>26</xdr:col>
                    <xdr:colOff>59267</xdr:colOff>
                    <xdr:row>8</xdr:row>
                    <xdr:rowOff>12700</xdr:rowOff>
                  </from>
                  <to>
                    <xdr:col>26</xdr:col>
                    <xdr:colOff>592667</xdr:colOff>
                    <xdr:row>9</xdr:row>
                    <xdr:rowOff>8467</xdr:rowOff>
                  </to>
                </anchor>
              </controlPr>
            </control>
          </mc:Choice>
        </mc:AlternateContent>
        <mc:AlternateContent xmlns:mc="http://schemas.openxmlformats.org/markup-compatibility/2006">
          <mc:Choice Requires="x14">
            <control shapeId="280927" r:id="rId12" name="Label 351">
              <controlPr defaultSize="0" autoFill="0" autoLine="0" autoPict="0">
                <anchor moveWithCells="1" sizeWithCells="1">
                  <from>
                    <xdr:col>26</xdr:col>
                    <xdr:colOff>59267</xdr:colOff>
                    <xdr:row>9</xdr:row>
                    <xdr:rowOff>12700</xdr:rowOff>
                  </from>
                  <to>
                    <xdr:col>26</xdr:col>
                    <xdr:colOff>592667</xdr:colOff>
                    <xdr:row>10</xdr:row>
                    <xdr:rowOff>8467</xdr:rowOff>
                  </to>
                </anchor>
              </controlPr>
            </control>
          </mc:Choice>
        </mc:AlternateContent>
        <mc:AlternateContent xmlns:mc="http://schemas.openxmlformats.org/markup-compatibility/2006">
          <mc:Choice Requires="x14">
            <control shapeId="280928" r:id="rId13" name="Label 352">
              <controlPr defaultSize="0" autoFill="0" autoLine="0" autoPict="0">
                <anchor moveWithCells="1" sizeWithCells="1">
                  <from>
                    <xdr:col>26</xdr:col>
                    <xdr:colOff>59267</xdr:colOff>
                    <xdr:row>10</xdr:row>
                    <xdr:rowOff>12700</xdr:rowOff>
                  </from>
                  <to>
                    <xdr:col>26</xdr:col>
                    <xdr:colOff>592667</xdr:colOff>
                    <xdr:row>11</xdr:row>
                    <xdr:rowOff>8467</xdr:rowOff>
                  </to>
                </anchor>
              </controlPr>
            </control>
          </mc:Choice>
        </mc:AlternateContent>
        <mc:AlternateContent xmlns:mc="http://schemas.openxmlformats.org/markup-compatibility/2006">
          <mc:Choice Requires="x14">
            <control shapeId="280929" r:id="rId14" name="Label 353">
              <controlPr defaultSize="0" autoFill="0" autoLine="0" autoPict="0">
                <anchor moveWithCells="1" sizeWithCells="1">
                  <from>
                    <xdr:col>26</xdr:col>
                    <xdr:colOff>59267</xdr:colOff>
                    <xdr:row>11</xdr:row>
                    <xdr:rowOff>12700</xdr:rowOff>
                  </from>
                  <to>
                    <xdr:col>26</xdr:col>
                    <xdr:colOff>592667</xdr:colOff>
                    <xdr:row>12</xdr:row>
                    <xdr:rowOff>8467</xdr:rowOff>
                  </to>
                </anchor>
              </controlPr>
            </control>
          </mc:Choice>
        </mc:AlternateContent>
        <mc:AlternateContent xmlns:mc="http://schemas.openxmlformats.org/markup-compatibility/2006">
          <mc:Choice Requires="x14">
            <control shapeId="280930" r:id="rId15" name="Label 354">
              <controlPr defaultSize="0" autoFill="0" autoLine="0" autoPict="0">
                <anchor moveWithCells="1" sizeWithCells="1">
                  <from>
                    <xdr:col>26</xdr:col>
                    <xdr:colOff>59267</xdr:colOff>
                    <xdr:row>12</xdr:row>
                    <xdr:rowOff>12700</xdr:rowOff>
                  </from>
                  <to>
                    <xdr:col>26</xdr:col>
                    <xdr:colOff>592667</xdr:colOff>
                    <xdr:row>13</xdr:row>
                    <xdr:rowOff>8467</xdr:rowOff>
                  </to>
                </anchor>
              </controlPr>
            </control>
          </mc:Choice>
        </mc:AlternateContent>
        <mc:AlternateContent xmlns:mc="http://schemas.openxmlformats.org/markup-compatibility/2006">
          <mc:Choice Requires="x14">
            <control shapeId="280931" r:id="rId16" name="Label 355">
              <controlPr defaultSize="0" autoFill="0" autoLine="0" autoPict="0">
                <anchor moveWithCells="1" sizeWithCells="1">
                  <from>
                    <xdr:col>26</xdr:col>
                    <xdr:colOff>59267</xdr:colOff>
                    <xdr:row>13</xdr:row>
                    <xdr:rowOff>12700</xdr:rowOff>
                  </from>
                  <to>
                    <xdr:col>26</xdr:col>
                    <xdr:colOff>592667</xdr:colOff>
                    <xdr:row>14</xdr:row>
                    <xdr:rowOff>8467</xdr:rowOff>
                  </to>
                </anchor>
              </controlPr>
            </control>
          </mc:Choice>
        </mc:AlternateContent>
        <mc:AlternateContent xmlns:mc="http://schemas.openxmlformats.org/markup-compatibility/2006">
          <mc:Choice Requires="x14">
            <control shapeId="280932" r:id="rId17" name="Label 356">
              <controlPr defaultSize="0" autoFill="0" autoLine="0" autoPict="0">
                <anchor moveWithCells="1" sizeWithCells="1">
                  <from>
                    <xdr:col>26</xdr:col>
                    <xdr:colOff>59267</xdr:colOff>
                    <xdr:row>14</xdr:row>
                    <xdr:rowOff>12700</xdr:rowOff>
                  </from>
                  <to>
                    <xdr:col>26</xdr:col>
                    <xdr:colOff>592667</xdr:colOff>
                    <xdr:row>15</xdr:row>
                    <xdr:rowOff>8467</xdr:rowOff>
                  </to>
                </anchor>
              </controlPr>
            </control>
          </mc:Choice>
        </mc:AlternateContent>
        <mc:AlternateContent xmlns:mc="http://schemas.openxmlformats.org/markup-compatibility/2006">
          <mc:Choice Requires="x14">
            <control shapeId="280933" r:id="rId18" name="Label 357">
              <controlPr defaultSize="0" autoFill="0" autoLine="0" autoPict="0">
                <anchor moveWithCells="1" sizeWithCells="1">
                  <from>
                    <xdr:col>26</xdr:col>
                    <xdr:colOff>59267</xdr:colOff>
                    <xdr:row>15</xdr:row>
                    <xdr:rowOff>12700</xdr:rowOff>
                  </from>
                  <to>
                    <xdr:col>26</xdr:col>
                    <xdr:colOff>592667</xdr:colOff>
                    <xdr:row>16</xdr:row>
                    <xdr:rowOff>8467</xdr:rowOff>
                  </to>
                </anchor>
              </controlPr>
            </control>
          </mc:Choice>
        </mc:AlternateContent>
        <mc:AlternateContent xmlns:mc="http://schemas.openxmlformats.org/markup-compatibility/2006">
          <mc:Choice Requires="x14">
            <control shapeId="280934" r:id="rId19" name="Label 358">
              <controlPr defaultSize="0" autoFill="0" autoLine="0" autoPict="0">
                <anchor moveWithCells="1" sizeWithCells="1">
                  <from>
                    <xdr:col>26</xdr:col>
                    <xdr:colOff>59267</xdr:colOff>
                    <xdr:row>16</xdr:row>
                    <xdr:rowOff>12700</xdr:rowOff>
                  </from>
                  <to>
                    <xdr:col>26</xdr:col>
                    <xdr:colOff>592667</xdr:colOff>
                    <xdr:row>17</xdr:row>
                    <xdr:rowOff>0</xdr:rowOff>
                  </to>
                </anchor>
              </controlPr>
            </control>
          </mc:Choice>
        </mc:AlternateContent>
        <mc:AlternateContent xmlns:mc="http://schemas.openxmlformats.org/markup-compatibility/2006">
          <mc:Choice Requires="x14">
            <control shapeId="280935" r:id="rId20" name="Label 359">
              <controlPr defaultSize="0" autoFill="0" autoLine="0" autoPict="0">
                <anchor moveWithCells="1" sizeWithCells="1">
                  <from>
                    <xdr:col>26</xdr:col>
                    <xdr:colOff>59267</xdr:colOff>
                    <xdr:row>17</xdr:row>
                    <xdr:rowOff>0</xdr:rowOff>
                  </from>
                  <to>
                    <xdr:col>26</xdr:col>
                    <xdr:colOff>592667</xdr:colOff>
                    <xdr:row>17</xdr:row>
                    <xdr:rowOff>8467</xdr:rowOff>
                  </to>
                </anchor>
              </controlPr>
            </control>
          </mc:Choice>
        </mc:AlternateContent>
        <mc:AlternateContent xmlns:mc="http://schemas.openxmlformats.org/markup-compatibility/2006">
          <mc:Choice Requires="x14">
            <control shapeId="280936" r:id="rId21" name="Label 360">
              <controlPr defaultSize="0" autoFill="0" autoLine="0" autoPict="0">
                <anchor moveWithCells="1" sizeWithCells="1">
                  <from>
                    <xdr:col>26</xdr:col>
                    <xdr:colOff>59267</xdr:colOff>
                    <xdr:row>17</xdr:row>
                    <xdr:rowOff>12700</xdr:rowOff>
                  </from>
                  <to>
                    <xdr:col>26</xdr:col>
                    <xdr:colOff>592667</xdr:colOff>
                    <xdr:row>18</xdr:row>
                    <xdr:rowOff>8467</xdr:rowOff>
                  </to>
                </anchor>
              </controlPr>
            </control>
          </mc:Choice>
        </mc:AlternateContent>
        <mc:AlternateContent xmlns:mc="http://schemas.openxmlformats.org/markup-compatibility/2006">
          <mc:Choice Requires="x14">
            <control shapeId="280937" r:id="rId22" name="Label 361">
              <controlPr defaultSize="0" autoFill="0" autoLine="0" autoPict="0">
                <anchor moveWithCells="1" sizeWithCells="1">
                  <from>
                    <xdr:col>26</xdr:col>
                    <xdr:colOff>25400</xdr:colOff>
                    <xdr:row>18</xdr:row>
                    <xdr:rowOff>12700</xdr:rowOff>
                  </from>
                  <to>
                    <xdr:col>26</xdr:col>
                    <xdr:colOff>558800</xdr:colOff>
                    <xdr:row>19</xdr:row>
                    <xdr:rowOff>8467</xdr:rowOff>
                  </to>
                </anchor>
              </controlPr>
            </control>
          </mc:Choice>
        </mc:AlternateContent>
        <mc:AlternateContent xmlns:mc="http://schemas.openxmlformats.org/markup-compatibility/2006">
          <mc:Choice Requires="x14">
            <control shapeId="280938" r:id="rId23" name="Label 362">
              <controlPr defaultSize="0" autoFill="0" autoLine="0" autoPict="0">
                <anchor moveWithCells="1" sizeWithCells="1">
                  <from>
                    <xdr:col>26</xdr:col>
                    <xdr:colOff>59267</xdr:colOff>
                    <xdr:row>19</xdr:row>
                    <xdr:rowOff>12700</xdr:rowOff>
                  </from>
                  <to>
                    <xdr:col>26</xdr:col>
                    <xdr:colOff>592667</xdr:colOff>
                    <xdr:row>20</xdr:row>
                    <xdr:rowOff>8467</xdr:rowOff>
                  </to>
                </anchor>
              </controlPr>
            </control>
          </mc:Choice>
        </mc:AlternateContent>
        <mc:AlternateContent xmlns:mc="http://schemas.openxmlformats.org/markup-compatibility/2006">
          <mc:Choice Requires="x14">
            <control shapeId="280939" r:id="rId24" name="Label 363">
              <controlPr defaultSize="0" autoFill="0" autoLine="0" autoPict="0">
                <anchor moveWithCells="1" sizeWithCells="1">
                  <from>
                    <xdr:col>26</xdr:col>
                    <xdr:colOff>59267</xdr:colOff>
                    <xdr:row>20</xdr:row>
                    <xdr:rowOff>12700</xdr:rowOff>
                  </from>
                  <to>
                    <xdr:col>26</xdr:col>
                    <xdr:colOff>592667</xdr:colOff>
                    <xdr:row>21</xdr:row>
                    <xdr:rowOff>8467</xdr:rowOff>
                  </to>
                </anchor>
              </controlPr>
            </control>
          </mc:Choice>
        </mc:AlternateContent>
        <mc:AlternateContent xmlns:mc="http://schemas.openxmlformats.org/markup-compatibility/2006">
          <mc:Choice Requires="x14">
            <control shapeId="280940" r:id="rId25" name="Label 364">
              <controlPr defaultSize="0" autoFill="0" autoLine="0" autoPict="0">
                <anchor moveWithCells="1" sizeWithCells="1">
                  <from>
                    <xdr:col>26</xdr:col>
                    <xdr:colOff>59267</xdr:colOff>
                    <xdr:row>21</xdr:row>
                    <xdr:rowOff>12700</xdr:rowOff>
                  </from>
                  <to>
                    <xdr:col>26</xdr:col>
                    <xdr:colOff>592667</xdr:colOff>
                    <xdr:row>22</xdr:row>
                    <xdr:rowOff>8467</xdr:rowOff>
                  </to>
                </anchor>
              </controlPr>
            </control>
          </mc:Choice>
        </mc:AlternateContent>
        <mc:AlternateContent xmlns:mc="http://schemas.openxmlformats.org/markup-compatibility/2006">
          <mc:Choice Requires="x14">
            <control shapeId="280941" r:id="rId26" name="Label 365">
              <controlPr defaultSize="0" autoFill="0" autoLine="0" autoPict="0">
                <anchor moveWithCells="1" sizeWithCells="1">
                  <from>
                    <xdr:col>26</xdr:col>
                    <xdr:colOff>59267</xdr:colOff>
                    <xdr:row>22</xdr:row>
                    <xdr:rowOff>12700</xdr:rowOff>
                  </from>
                  <to>
                    <xdr:col>26</xdr:col>
                    <xdr:colOff>592667</xdr:colOff>
                    <xdr:row>23</xdr:row>
                    <xdr:rowOff>8467</xdr:rowOff>
                  </to>
                </anchor>
              </controlPr>
            </control>
          </mc:Choice>
        </mc:AlternateContent>
        <mc:AlternateContent xmlns:mc="http://schemas.openxmlformats.org/markup-compatibility/2006">
          <mc:Choice Requires="x14">
            <control shapeId="280942" r:id="rId27" name="Label 366">
              <controlPr defaultSize="0" autoFill="0" autoLine="0" autoPict="0">
                <anchor moveWithCells="1" sizeWithCells="1">
                  <from>
                    <xdr:col>26</xdr:col>
                    <xdr:colOff>59267</xdr:colOff>
                    <xdr:row>23</xdr:row>
                    <xdr:rowOff>12700</xdr:rowOff>
                  </from>
                  <to>
                    <xdr:col>26</xdr:col>
                    <xdr:colOff>592667</xdr:colOff>
                    <xdr:row>24</xdr:row>
                    <xdr:rowOff>8467</xdr:rowOff>
                  </to>
                </anchor>
              </controlPr>
            </control>
          </mc:Choice>
        </mc:AlternateContent>
        <mc:AlternateContent xmlns:mc="http://schemas.openxmlformats.org/markup-compatibility/2006">
          <mc:Choice Requires="x14">
            <control shapeId="280943" r:id="rId28" name="Label 367">
              <controlPr defaultSize="0" autoFill="0" autoLine="0" autoPict="0">
                <anchor moveWithCells="1" sizeWithCells="1">
                  <from>
                    <xdr:col>26</xdr:col>
                    <xdr:colOff>59267</xdr:colOff>
                    <xdr:row>24</xdr:row>
                    <xdr:rowOff>12700</xdr:rowOff>
                  </from>
                  <to>
                    <xdr:col>26</xdr:col>
                    <xdr:colOff>592667</xdr:colOff>
                    <xdr:row>25</xdr:row>
                    <xdr:rowOff>8467</xdr:rowOff>
                  </to>
                </anchor>
              </controlPr>
            </control>
          </mc:Choice>
        </mc:AlternateContent>
        <mc:AlternateContent xmlns:mc="http://schemas.openxmlformats.org/markup-compatibility/2006">
          <mc:Choice Requires="x14">
            <control shapeId="280944" r:id="rId29" name="Label 368">
              <controlPr defaultSize="0" autoFill="0" autoLine="0" autoPict="0">
                <anchor moveWithCells="1" sizeWithCells="1">
                  <from>
                    <xdr:col>26</xdr:col>
                    <xdr:colOff>59267</xdr:colOff>
                    <xdr:row>25</xdr:row>
                    <xdr:rowOff>12700</xdr:rowOff>
                  </from>
                  <to>
                    <xdr:col>26</xdr:col>
                    <xdr:colOff>592667</xdr:colOff>
                    <xdr:row>26</xdr:row>
                    <xdr:rowOff>8467</xdr:rowOff>
                  </to>
                </anchor>
              </controlPr>
            </control>
          </mc:Choice>
        </mc:AlternateContent>
        <mc:AlternateContent xmlns:mc="http://schemas.openxmlformats.org/markup-compatibility/2006">
          <mc:Choice Requires="x14">
            <control shapeId="280945" r:id="rId30" name="Label 369">
              <controlPr defaultSize="0" autoFill="0" autoLine="0" autoPict="0">
                <anchor moveWithCells="1" sizeWithCells="1">
                  <from>
                    <xdr:col>26</xdr:col>
                    <xdr:colOff>59267</xdr:colOff>
                    <xdr:row>26</xdr:row>
                    <xdr:rowOff>12700</xdr:rowOff>
                  </from>
                  <to>
                    <xdr:col>26</xdr:col>
                    <xdr:colOff>592667</xdr:colOff>
                    <xdr:row>27</xdr:row>
                    <xdr:rowOff>8467</xdr:rowOff>
                  </to>
                </anchor>
              </controlPr>
            </control>
          </mc:Choice>
        </mc:AlternateContent>
        <mc:AlternateContent xmlns:mc="http://schemas.openxmlformats.org/markup-compatibility/2006">
          <mc:Choice Requires="x14">
            <control shapeId="280946" r:id="rId31" name="Label 370">
              <controlPr defaultSize="0" autoFill="0" autoLine="0" autoPict="0">
                <anchor moveWithCells="1" sizeWithCells="1">
                  <from>
                    <xdr:col>26</xdr:col>
                    <xdr:colOff>59267</xdr:colOff>
                    <xdr:row>27</xdr:row>
                    <xdr:rowOff>12700</xdr:rowOff>
                  </from>
                  <to>
                    <xdr:col>26</xdr:col>
                    <xdr:colOff>592667</xdr:colOff>
                    <xdr:row>28</xdr:row>
                    <xdr:rowOff>8467</xdr:rowOff>
                  </to>
                </anchor>
              </controlPr>
            </control>
          </mc:Choice>
        </mc:AlternateContent>
        <mc:AlternateContent xmlns:mc="http://schemas.openxmlformats.org/markup-compatibility/2006">
          <mc:Choice Requires="x14">
            <control shapeId="280947" r:id="rId32" name="Label 371">
              <controlPr defaultSize="0" autoFill="0" autoLine="0" autoPict="0">
                <anchor moveWithCells="1" sizeWithCells="1">
                  <from>
                    <xdr:col>26</xdr:col>
                    <xdr:colOff>59267</xdr:colOff>
                    <xdr:row>28</xdr:row>
                    <xdr:rowOff>12700</xdr:rowOff>
                  </from>
                  <to>
                    <xdr:col>26</xdr:col>
                    <xdr:colOff>592667</xdr:colOff>
                    <xdr:row>29</xdr:row>
                    <xdr:rowOff>8467</xdr:rowOff>
                  </to>
                </anchor>
              </controlPr>
            </control>
          </mc:Choice>
        </mc:AlternateContent>
        <mc:AlternateContent xmlns:mc="http://schemas.openxmlformats.org/markup-compatibility/2006">
          <mc:Choice Requires="x14">
            <control shapeId="280948" r:id="rId33" name="Label 372">
              <controlPr defaultSize="0" autoFill="0" autoLine="0" autoPict="0">
                <anchor moveWithCells="1" sizeWithCells="1">
                  <from>
                    <xdr:col>26</xdr:col>
                    <xdr:colOff>59267</xdr:colOff>
                    <xdr:row>29</xdr:row>
                    <xdr:rowOff>12700</xdr:rowOff>
                  </from>
                  <to>
                    <xdr:col>26</xdr:col>
                    <xdr:colOff>592667</xdr:colOff>
                    <xdr:row>30</xdr:row>
                    <xdr:rowOff>8467</xdr:rowOff>
                  </to>
                </anchor>
              </controlPr>
            </control>
          </mc:Choice>
        </mc:AlternateContent>
        <mc:AlternateContent xmlns:mc="http://schemas.openxmlformats.org/markup-compatibility/2006">
          <mc:Choice Requires="x14">
            <control shapeId="280949" r:id="rId34" name="Label 373">
              <controlPr defaultSize="0" autoFill="0" autoLine="0" autoPict="0">
                <anchor moveWithCells="1" sizeWithCells="1">
                  <from>
                    <xdr:col>26</xdr:col>
                    <xdr:colOff>59267</xdr:colOff>
                    <xdr:row>30</xdr:row>
                    <xdr:rowOff>12700</xdr:rowOff>
                  </from>
                  <to>
                    <xdr:col>26</xdr:col>
                    <xdr:colOff>592667</xdr:colOff>
                    <xdr:row>31</xdr:row>
                    <xdr:rowOff>8467</xdr:rowOff>
                  </to>
                </anchor>
              </controlPr>
            </control>
          </mc:Choice>
        </mc:AlternateContent>
        <mc:AlternateContent xmlns:mc="http://schemas.openxmlformats.org/markup-compatibility/2006">
          <mc:Choice Requires="x14">
            <control shapeId="280950" r:id="rId35" name="Label 374">
              <controlPr defaultSize="0" autoFill="0" autoLine="0" autoPict="0">
                <anchor moveWithCells="1" sizeWithCells="1">
                  <from>
                    <xdr:col>26</xdr:col>
                    <xdr:colOff>59267</xdr:colOff>
                    <xdr:row>31</xdr:row>
                    <xdr:rowOff>12700</xdr:rowOff>
                  </from>
                  <to>
                    <xdr:col>26</xdr:col>
                    <xdr:colOff>592667</xdr:colOff>
                    <xdr:row>32</xdr:row>
                    <xdr:rowOff>8467</xdr:rowOff>
                  </to>
                </anchor>
              </controlPr>
            </control>
          </mc:Choice>
        </mc:AlternateContent>
        <mc:AlternateContent xmlns:mc="http://schemas.openxmlformats.org/markup-compatibility/2006">
          <mc:Choice Requires="x14">
            <control shapeId="280951" r:id="rId36" name="Label 375">
              <controlPr defaultSize="0" autoFill="0" autoLine="0" autoPict="0">
                <anchor moveWithCells="1" sizeWithCells="1">
                  <from>
                    <xdr:col>26</xdr:col>
                    <xdr:colOff>59267</xdr:colOff>
                    <xdr:row>32</xdr:row>
                    <xdr:rowOff>12700</xdr:rowOff>
                  </from>
                  <to>
                    <xdr:col>26</xdr:col>
                    <xdr:colOff>592667</xdr:colOff>
                    <xdr:row>33</xdr:row>
                    <xdr:rowOff>8467</xdr:rowOff>
                  </to>
                </anchor>
              </controlPr>
            </control>
          </mc:Choice>
        </mc:AlternateContent>
        <mc:AlternateContent xmlns:mc="http://schemas.openxmlformats.org/markup-compatibility/2006">
          <mc:Choice Requires="x14">
            <control shapeId="280952" r:id="rId37" name="Label 376">
              <controlPr defaultSize="0" autoFill="0" autoLine="0" autoPict="0">
                <anchor moveWithCells="1" sizeWithCells="1">
                  <from>
                    <xdr:col>26</xdr:col>
                    <xdr:colOff>59267</xdr:colOff>
                    <xdr:row>33</xdr:row>
                    <xdr:rowOff>12700</xdr:rowOff>
                  </from>
                  <to>
                    <xdr:col>26</xdr:col>
                    <xdr:colOff>592667</xdr:colOff>
                    <xdr:row>34</xdr:row>
                    <xdr:rowOff>8467</xdr:rowOff>
                  </to>
                </anchor>
              </controlPr>
            </control>
          </mc:Choice>
        </mc:AlternateContent>
        <mc:AlternateContent xmlns:mc="http://schemas.openxmlformats.org/markup-compatibility/2006">
          <mc:Choice Requires="x14">
            <control shapeId="280953" r:id="rId38" name="Label 377">
              <controlPr defaultSize="0" autoFill="0" autoLine="0" autoPict="0">
                <anchor moveWithCells="1" sizeWithCells="1">
                  <from>
                    <xdr:col>26</xdr:col>
                    <xdr:colOff>59267</xdr:colOff>
                    <xdr:row>34</xdr:row>
                    <xdr:rowOff>12700</xdr:rowOff>
                  </from>
                  <to>
                    <xdr:col>26</xdr:col>
                    <xdr:colOff>592667</xdr:colOff>
                    <xdr:row>35</xdr:row>
                    <xdr:rowOff>8467</xdr:rowOff>
                  </to>
                </anchor>
              </controlPr>
            </control>
          </mc:Choice>
        </mc:AlternateContent>
        <mc:AlternateContent xmlns:mc="http://schemas.openxmlformats.org/markup-compatibility/2006">
          <mc:Choice Requires="x14">
            <control shapeId="280954" r:id="rId39" name="Label 378">
              <controlPr defaultSize="0" autoFill="0" autoLine="0" autoPict="0">
                <anchor moveWithCells="1" sizeWithCells="1">
                  <from>
                    <xdr:col>26</xdr:col>
                    <xdr:colOff>59267</xdr:colOff>
                    <xdr:row>35</xdr:row>
                    <xdr:rowOff>12700</xdr:rowOff>
                  </from>
                  <to>
                    <xdr:col>26</xdr:col>
                    <xdr:colOff>592667</xdr:colOff>
                    <xdr:row>36</xdr:row>
                    <xdr:rowOff>8467</xdr:rowOff>
                  </to>
                </anchor>
              </controlPr>
            </control>
          </mc:Choice>
        </mc:AlternateContent>
        <mc:AlternateContent xmlns:mc="http://schemas.openxmlformats.org/markup-compatibility/2006">
          <mc:Choice Requires="x14">
            <control shapeId="280955" r:id="rId40" name="Label 379">
              <controlPr defaultSize="0" autoFill="0" autoLine="0" autoPict="0">
                <anchor moveWithCells="1" sizeWithCells="1">
                  <from>
                    <xdr:col>26</xdr:col>
                    <xdr:colOff>59267</xdr:colOff>
                    <xdr:row>36</xdr:row>
                    <xdr:rowOff>12700</xdr:rowOff>
                  </from>
                  <to>
                    <xdr:col>26</xdr:col>
                    <xdr:colOff>592667</xdr:colOff>
                    <xdr:row>37</xdr:row>
                    <xdr:rowOff>8467</xdr:rowOff>
                  </to>
                </anchor>
              </controlPr>
            </control>
          </mc:Choice>
        </mc:AlternateContent>
        <mc:AlternateContent xmlns:mc="http://schemas.openxmlformats.org/markup-compatibility/2006">
          <mc:Choice Requires="x14">
            <control shapeId="280956" r:id="rId41" name="Label 380">
              <controlPr defaultSize="0" autoFill="0" autoLine="0" autoPict="0">
                <anchor moveWithCells="1" sizeWithCells="1">
                  <from>
                    <xdr:col>26</xdr:col>
                    <xdr:colOff>59267</xdr:colOff>
                    <xdr:row>37</xdr:row>
                    <xdr:rowOff>12700</xdr:rowOff>
                  </from>
                  <to>
                    <xdr:col>26</xdr:col>
                    <xdr:colOff>592667</xdr:colOff>
                    <xdr:row>38</xdr:row>
                    <xdr:rowOff>8467</xdr:rowOff>
                  </to>
                </anchor>
              </controlPr>
            </control>
          </mc:Choice>
        </mc:AlternateContent>
        <mc:AlternateContent xmlns:mc="http://schemas.openxmlformats.org/markup-compatibility/2006">
          <mc:Choice Requires="x14">
            <control shapeId="280957" r:id="rId42" name="Label 381">
              <controlPr defaultSize="0" autoFill="0" autoLine="0" autoPict="0">
                <anchor moveWithCells="1" sizeWithCells="1">
                  <from>
                    <xdr:col>26</xdr:col>
                    <xdr:colOff>59267</xdr:colOff>
                    <xdr:row>38</xdr:row>
                    <xdr:rowOff>12700</xdr:rowOff>
                  </from>
                  <to>
                    <xdr:col>26</xdr:col>
                    <xdr:colOff>592667</xdr:colOff>
                    <xdr:row>39</xdr:row>
                    <xdr:rowOff>8467</xdr:rowOff>
                  </to>
                </anchor>
              </controlPr>
            </control>
          </mc:Choice>
        </mc:AlternateContent>
        <mc:AlternateContent xmlns:mc="http://schemas.openxmlformats.org/markup-compatibility/2006">
          <mc:Choice Requires="x14">
            <control shapeId="280958" r:id="rId43" name="Label 382">
              <controlPr defaultSize="0" autoFill="0" autoLine="0" autoPict="0">
                <anchor moveWithCells="1" sizeWithCells="1">
                  <from>
                    <xdr:col>26</xdr:col>
                    <xdr:colOff>59267</xdr:colOff>
                    <xdr:row>39</xdr:row>
                    <xdr:rowOff>12700</xdr:rowOff>
                  </from>
                  <to>
                    <xdr:col>26</xdr:col>
                    <xdr:colOff>592667</xdr:colOff>
                    <xdr:row>40</xdr:row>
                    <xdr:rowOff>8467</xdr:rowOff>
                  </to>
                </anchor>
              </controlPr>
            </control>
          </mc:Choice>
        </mc:AlternateContent>
        <mc:AlternateContent xmlns:mc="http://schemas.openxmlformats.org/markup-compatibility/2006">
          <mc:Choice Requires="x14">
            <control shapeId="280959" r:id="rId44" name="Label 383">
              <controlPr defaultSize="0" autoFill="0" autoLine="0" autoPict="0">
                <anchor moveWithCells="1" sizeWithCells="1">
                  <from>
                    <xdr:col>26</xdr:col>
                    <xdr:colOff>59267</xdr:colOff>
                    <xdr:row>40</xdr:row>
                    <xdr:rowOff>12700</xdr:rowOff>
                  </from>
                  <to>
                    <xdr:col>26</xdr:col>
                    <xdr:colOff>592667</xdr:colOff>
                    <xdr:row>41</xdr:row>
                    <xdr:rowOff>8467</xdr:rowOff>
                  </to>
                </anchor>
              </controlPr>
            </control>
          </mc:Choice>
        </mc:AlternateContent>
        <mc:AlternateContent xmlns:mc="http://schemas.openxmlformats.org/markup-compatibility/2006">
          <mc:Choice Requires="x14">
            <control shapeId="280960" r:id="rId45" name="Label 384">
              <controlPr defaultSize="0" autoFill="0" autoLine="0" autoPict="0">
                <anchor moveWithCells="1" sizeWithCells="1">
                  <from>
                    <xdr:col>26</xdr:col>
                    <xdr:colOff>59267</xdr:colOff>
                    <xdr:row>41</xdr:row>
                    <xdr:rowOff>12700</xdr:rowOff>
                  </from>
                  <to>
                    <xdr:col>26</xdr:col>
                    <xdr:colOff>592667</xdr:colOff>
                    <xdr:row>42</xdr:row>
                    <xdr:rowOff>8467</xdr:rowOff>
                  </to>
                </anchor>
              </controlPr>
            </control>
          </mc:Choice>
        </mc:AlternateContent>
        <mc:AlternateContent xmlns:mc="http://schemas.openxmlformats.org/markup-compatibility/2006">
          <mc:Choice Requires="x14">
            <control shapeId="280961" r:id="rId46" name="Label 385">
              <controlPr defaultSize="0" autoFill="0" autoLine="0" autoPict="0">
                <anchor moveWithCells="1" sizeWithCells="1">
                  <from>
                    <xdr:col>26</xdr:col>
                    <xdr:colOff>59267</xdr:colOff>
                    <xdr:row>42</xdr:row>
                    <xdr:rowOff>12700</xdr:rowOff>
                  </from>
                  <to>
                    <xdr:col>26</xdr:col>
                    <xdr:colOff>592667</xdr:colOff>
                    <xdr:row>43</xdr:row>
                    <xdr:rowOff>8467</xdr:rowOff>
                  </to>
                </anchor>
              </controlPr>
            </control>
          </mc:Choice>
        </mc:AlternateContent>
        <mc:AlternateContent xmlns:mc="http://schemas.openxmlformats.org/markup-compatibility/2006">
          <mc:Choice Requires="x14">
            <control shapeId="280962" r:id="rId47" name="Label 386">
              <controlPr defaultSize="0" autoFill="0" autoLine="0" autoPict="0">
                <anchor moveWithCells="1" sizeWithCells="1">
                  <from>
                    <xdr:col>26</xdr:col>
                    <xdr:colOff>59267</xdr:colOff>
                    <xdr:row>43</xdr:row>
                    <xdr:rowOff>12700</xdr:rowOff>
                  </from>
                  <to>
                    <xdr:col>26</xdr:col>
                    <xdr:colOff>592667</xdr:colOff>
                    <xdr:row>44</xdr:row>
                    <xdr:rowOff>8467</xdr:rowOff>
                  </to>
                </anchor>
              </controlPr>
            </control>
          </mc:Choice>
        </mc:AlternateContent>
        <mc:AlternateContent xmlns:mc="http://schemas.openxmlformats.org/markup-compatibility/2006">
          <mc:Choice Requires="x14">
            <control shapeId="280963" r:id="rId48" name="Label 387">
              <controlPr defaultSize="0" autoFill="0" autoLine="0" autoPict="0">
                <anchor moveWithCells="1" sizeWithCells="1">
                  <from>
                    <xdr:col>26</xdr:col>
                    <xdr:colOff>59267</xdr:colOff>
                    <xdr:row>44</xdr:row>
                    <xdr:rowOff>12700</xdr:rowOff>
                  </from>
                  <to>
                    <xdr:col>26</xdr:col>
                    <xdr:colOff>592667</xdr:colOff>
                    <xdr:row>45</xdr:row>
                    <xdr:rowOff>8467</xdr:rowOff>
                  </to>
                </anchor>
              </controlPr>
            </control>
          </mc:Choice>
        </mc:AlternateContent>
        <mc:AlternateContent xmlns:mc="http://schemas.openxmlformats.org/markup-compatibility/2006">
          <mc:Choice Requires="x14">
            <control shapeId="280964" r:id="rId49" name="Label 388">
              <controlPr defaultSize="0" autoFill="0" autoLine="0" autoPict="0">
                <anchor moveWithCells="1" sizeWithCells="1">
                  <from>
                    <xdr:col>26</xdr:col>
                    <xdr:colOff>59267</xdr:colOff>
                    <xdr:row>45</xdr:row>
                    <xdr:rowOff>12700</xdr:rowOff>
                  </from>
                  <to>
                    <xdr:col>26</xdr:col>
                    <xdr:colOff>592667</xdr:colOff>
                    <xdr:row>46</xdr:row>
                    <xdr:rowOff>8467</xdr:rowOff>
                  </to>
                </anchor>
              </controlPr>
            </control>
          </mc:Choice>
        </mc:AlternateContent>
        <mc:AlternateContent xmlns:mc="http://schemas.openxmlformats.org/markup-compatibility/2006">
          <mc:Choice Requires="x14">
            <control shapeId="280965" r:id="rId50" name="Label 389">
              <controlPr defaultSize="0" autoFill="0" autoLine="0" autoPict="0">
                <anchor moveWithCells="1" sizeWithCells="1">
                  <from>
                    <xdr:col>26</xdr:col>
                    <xdr:colOff>59267</xdr:colOff>
                    <xdr:row>46</xdr:row>
                    <xdr:rowOff>12700</xdr:rowOff>
                  </from>
                  <to>
                    <xdr:col>26</xdr:col>
                    <xdr:colOff>592667</xdr:colOff>
                    <xdr:row>47</xdr:row>
                    <xdr:rowOff>8467</xdr:rowOff>
                  </to>
                </anchor>
              </controlPr>
            </control>
          </mc:Choice>
        </mc:AlternateContent>
        <mc:AlternateContent xmlns:mc="http://schemas.openxmlformats.org/markup-compatibility/2006">
          <mc:Choice Requires="x14">
            <control shapeId="280966" r:id="rId51" name="Label 390">
              <controlPr defaultSize="0" autoFill="0" autoLine="0" autoPict="0">
                <anchor moveWithCells="1" sizeWithCells="1">
                  <from>
                    <xdr:col>26</xdr:col>
                    <xdr:colOff>59267</xdr:colOff>
                    <xdr:row>47</xdr:row>
                    <xdr:rowOff>12700</xdr:rowOff>
                  </from>
                  <to>
                    <xdr:col>26</xdr:col>
                    <xdr:colOff>592667</xdr:colOff>
                    <xdr:row>48</xdr:row>
                    <xdr:rowOff>8467</xdr:rowOff>
                  </to>
                </anchor>
              </controlPr>
            </control>
          </mc:Choice>
        </mc:AlternateContent>
        <mc:AlternateContent xmlns:mc="http://schemas.openxmlformats.org/markup-compatibility/2006">
          <mc:Choice Requires="x14">
            <control shapeId="280967" r:id="rId52" name="Label 391">
              <controlPr defaultSize="0" autoFill="0" autoLine="0" autoPict="0">
                <anchor moveWithCells="1" sizeWithCells="1">
                  <from>
                    <xdr:col>26</xdr:col>
                    <xdr:colOff>59267</xdr:colOff>
                    <xdr:row>48</xdr:row>
                    <xdr:rowOff>12700</xdr:rowOff>
                  </from>
                  <to>
                    <xdr:col>26</xdr:col>
                    <xdr:colOff>592667</xdr:colOff>
                    <xdr:row>49</xdr:row>
                    <xdr:rowOff>8467</xdr:rowOff>
                  </to>
                </anchor>
              </controlPr>
            </control>
          </mc:Choice>
        </mc:AlternateContent>
        <mc:AlternateContent xmlns:mc="http://schemas.openxmlformats.org/markup-compatibility/2006">
          <mc:Choice Requires="x14">
            <control shapeId="280968" r:id="rId53" name="Label 392">
              <controlPr defaultSize="0" autoFill="0" autoLine="0" autoPict="0">
                <anchor moveWithCells="1" sizeWithCells="1">
                  <from>
                    <xdr:col>26</xdr:col>
                    <xdr:colOff>59267</xdr:colOff>
                    <xdr:row>49</xdr:row>
                    <xdr:rowOff>12700</xdr:rowOff>
                  </from>
                  <to>
                    <xdr:col>26</xdr:col>
                    <xdr:colOff>592667</xdr:colOff>
                    <xdr:row>50</xdr:row>
                    <xdr:rowOff>8467</xdr:rowOff>
                  </to>
                </anchor>
              </controlPr>
            </control>
          </mc:Choice>
        </mc:AlternateContent>
        <mc:AlternateContent xmlns:mc="http://schemas.openxmlformats.org/markup-compatibility/2006">
          <mc:Choice Requires="x14">
            <control shapeId="280969" r:id="rId54" name="Label 393">
              <controlPr defaultSize="0" autoFill="0" autoLine="0" autoPict="0">
                <anchor moveWithCells="1" sizeWithCells="1">
                  <from>
                    <xdr:col>26</xdr:col>
                    <xdr:colOff>59267</xdr:colOff>
                    <xdr:row>50</xdr:row>
                    <xdr:rowOff>12700</xdr:rowOff>
                  </from>
                  <to>
                    <xdr:col>26</xdr:col>
                    <xdr:colOff>592667</xdr:colOff>
                    <xdr:row>51</xdr:row>
                    <xdr:rowOff>8467</xdr:rowOff>
                  </to>
                </anchor>
              </controlPr>
            </control>
          </mc:Choice>
        </mc:AlternateContent>
        <mc:AlternateContent xmlns:mc="http://schemas.openxmlformats.org/markup-compatibility/2006">
          <mc:Choice Requires="x14">
            <control shapeId="280970" r:id="rId55" name="Label 394">
              <controlPr defaultSize="0" autoFill="0" autoLine="0" autoPict="0">
                <anchor moveWithCells="1" sizeWithCells="1">
                  <from>
                    <xdr:col>26</xdr:col>
                    <xdr:colOff>59267</xdr:colOff>
                    <xdr:row>51</xdr:row>
                    <xdr:rowOff>12700</xdr:rowOff>
                  </from>
                  <to>
                    <xdr:col>26</xdr:col>
                    <xdr:colOff>592667</xdr:colOff>
                    <xdr:row>52</xdr:row>
                    <xdr:rowOff>8467</xdr:rowOff>
                  </to>
                </anchor>
              </controlPr>
            </control>
          </mc:Choice>
        </mc:AlternateContent>
        <mc:AlternateContent xmlns:mc="http://schemas.openxmlformats.org/markup-compatibility/2006">
          <mc:Choice Requires="x14">
            <control shapeId="280971" r:id="rId56" name="Label 395">
              <controlPr defaultSize="0" autoFill="0" autoLine="0" autoPict="0">
                <anchor moveWithCells="1" sizeWithCells="1">
                  <from>
                    <xdr:col>26</xdr:col>
                    <xdr:colOff>59267</xdr:colOff>
                    <xdr:row>52</xdr:row>
                    <xdr:rowOff>12700</xdr:rowOff>
                  </from>
                  <to>
                    <xdr:col>26</xdr:col>
                    <xdr:colOff>592667</xdr:colOff>
                    <xdr:row>53</xdr:row>
                    <xdr:rowOff>8467</xdr:rowOff>
                  </to>
                </anchor>
              </controlPr>
            </control>
          </mc:Choice>
        </mc:AlternateContent>
        <mc:AlternateContent xmlns:mc="http://schemas.openxmlformats.org/markup-compatibility/2006">
          <mc:Choice Requires="x14">
            <control shapeId="280972" r:id="rId57" name="Label 396">
              <controlPr defaultSize="0" autoFill="0" autoLine="0" autoPict="0">
                <anchor moveWithCells="1" sizeWithCells="1">
                  <from>
                    <xdr:col>26</xdr:col>
                    <xdr:colOff>59267</xdr:colOff>
                    <xdr:row>53</xdr:row>
                    <xdr:rowOff>12700</xdr:rowOff>
                  </from>
                  <to>
                    <xdr:col>26</xdr:col>
                    <xdr:colOff>592667</xdr:colOff>
                    <xdr:row>54</xdr:row>
                    <xdr:rowOff>8467</xdr:rowOff>
                  </to>
                </anchor>
              </controlPr>
            </control>
          </mc:Choice>
        </mc:AlternateContent>
        <mc:AlternateContent xmlns:mc="http://schemas.openxmlformats.org/markup-compatibility/2006">
          <mc:Choice Requires="x14">
            <control shapeId="280973" r:id="rId58" name="Label 397">
              <controlPr defaultSize="0" autoFill="0" autoLine="0" autoPict="0">
                <anchor moveWithCells="1" sizeWithCells="1">
                  <from>
                    <xdr:col>26</xdr:col>
                    <xdr:colOff>59267</xdr:colOff>
                    <xdr:row>54</xdr:row>
                    <xdr:rowOff>12700</xdr:rowOff>
                  </from>
                  <to>
                    <xdr:col>26</xdr:col>
                    <xdr:colOff>592667</xdr:colOff>
                    <xdr:row>55</xdr:row>
                    <xdr:rowOff>8467</xdr:rowOff>
                  </to>
                </anchor>
              </controlPr>
            </control>
          </mc:Choice>
        </mc:AlternateContent>
        <mc:AlternateContent xmlns:mc="http://schemas.openxmlformats.org/markup-compatibility/2006">
          <mc:Choice Requires="x14">
            <control shapeId="280974" r:id="rId59" name="Label 398">
              <controlPr defaultSize="0" autoFill="0" autoLine="0" autoPict="0">
                <anchor moveWithCells="1" sizeWithCells="1">
                  <from>
                    <xdr:col>26</xdr:col>
                    <xdr:colOff>59267</xdr:colOff>
                    <xdr:row>55</xdr:row>
                    <xdr:rowOff>12700</xdr:rowOff>
                  </from>
                  <to>
                    <xdr:col>26</xdr:col>
                    <xdr:colOff>592667</xdr:colOff>
                    <xdr:row>56</xdr:row>
                    <xdr:rowOff>8467</xdr:rowOff>
                  </to>
                </anchor>
              </controlPr>
            </control>
          </mc:Choice>
        </mc:AlternateContent>
        <mc:AlternateContent xmlns:mc="http://schemas.openxmlformats.org/markup-compatibility/2006">
          <mc:Choice Requires="x14">
            <control shapeId="280975" r:id="rId60" name="Label 399">
              <controlPr defaultSize="0" autoFill="0" autoLine="0" autoPict="0">
                <anchor moveWithCells="1" sizeWithCells="1">
                  <from>
                    <xdr:col>26</xdr:col>
                    <xdr:colOff>59267</xdr:colOff>
                    <xdr:row>56</xdr:row>
                    <xdr:rowOff>12700</xdr:rowOff>
                  </from>
                  <to>
                    <xdr:col>26</xdr:col>
                    <xdr:colOff>592667</xdr:colOff>
                    <xdr:row>57</xdr:row>
                    <xdr:rowOff>8467</xdr:rowOff>
                  </to>
                </anchor>
              </controlPr>
            </control>
          </mc:Choice>
        </mc:AlternateContent>
        <mc:AlternateContent xmlns:mc="http://schemas.openxmlformats.org/markup-compatibility/2006">
          <mc:Choice Requires="x14">
            <control shapeId="280976" r:id="rId61" name="Label 400">
              <controlPr defaultSize="0" autoFill="0" autoLine="0" autoPict="0">
                <anchor moveWithCells="1" sizeWithCells="1">
                  <from>
                    <xdr:col>26</xdr:col>
                    <xdr:colOff>59267</xdr:colOff>
                    <xdr:row>57</xdr:row>
                    <xdr:rowOff>12700</xdr:rowOff>
                  </from>
                  <to>
                    <xdr:col>26</xdr:col>
                    <xdr:colOff>592667</xdr:colOff>
                    <xdr:row>58</xdr:row>
                    <xdr:rowOff>8467</xdr:rowOff>
                  </to>
                </anchor>
              </controlPr>
            </control>
          </mc:Choice>
        </mc:AlternateContent>
        <mc:AlternateContent xmlns:mc="http://schemas.openxmlformats.org/markup-compatibility/2006">
          <mc:Choice Requires="x14">
            <control shapeId="280977" r:id="rId62" name="Label 401">
              <controlPr defaultSize="0" autoFill="0" autoLine="0" autoPict="0">
                <anchor moveWithCells="1" sizeWithCells="1">
                  <from>
                    <xdr:col>26</xdr:col>
                    <xdr:colOff>59267</xdr:colOff>
                    <xdr:row>58</xdr:row>
                    <xdr:rowOff>12700</xdr:rowOff>
                  </from>
                  <to>
                    <xdr:col>26</xdr:col>
                    <xdr:colOff>592667</xdr:colOff>
                    <xdr:row>59</xdr:row>
                    <xdr:rowOff>8467</xdr:rowOff>
                  </to>
                </anchor>
              </controlPr>
            </control>
          </mc:Choice>
        </mc:AlternateContent>
        <mc:AlternateContent xmlns:mc="http://schemas.openxmlformats.org/markup-compatibility/2006">
          <mc:Choice Requires="x14">
            <control shapeId="280978" r:id="rId63" name="Label 402">
              <controlPr defaultSize="0" autoFill="0" autoLine="0" autoPict="0">
                <anchor moveWithCells="1" sizeWithCells="1">
                  <from>
                    <xdr:col>26</xdr:col>
                    <xdr:colOff>59267</xdr:colOff>
                    <xdr:row>59</xdr:row>
                    <xdr:rowOff>12700</xdr:rowOff>
                  </from>
                  <to>
                    <xdr:col>26</xdr:col>
                    <xdr:colOff>592667</xdr:colOff>
                    <xdr:row>60</xdr:row>
                    <xdr:rowOff>8467</xdr:rowOff>
                  </to>
                </anchor>
              </controlPr>
            </control>
          </mc:Choice>
        </mc:AlternateContent>
        <mc:AlternateContent xmlns:mc="http://schemas.openxmlformats.org/markup-compatibility/2006">
          <mc:Choice Requires="x14">
            <control shapeId="280979" r:id="rId64" name="Label 403">
              <controlPr defaultSize="0" autoFill="0" autoLine="0" autoPict="0">
                <anchor moveWithCells="1" sizeWithCells="1">
                  <from>
                    <xdr:col>26</xdr:col>
                    <xdr:colOff>59267</xdr:colOff>
                    <xdr:row>60</xdr:row>
                    <xdr:rowOff>12700</xdr:rowOff>
                  </from>
                  <to>
                    <xdr:col>26</xdr:col>
                    <xdr:colOff>592667</xdr:colOff>
                    <xdr:row>61</xdr:row>
                    <xdr:rowOff>8467</xdr:rowOff>
                  </to>
                </anchor>
              </controlPr>
            </control>
          </mc:Choice>
        </mc:AlternateContent>
        <mc:AlternateContent xmlns:mc="http://schemas.openxmlformats.org/markup-compatibility/2006">
          <mc:Choice Requires="x14">
            <control shapeId="280980" r:id="rId65" name="Label 404">
              <controlPr defaultSize="0" autoFill="0" autoLine="0" autoPict="0">
                <anchor moveWithCells="1" sizeWithCells="1">
                  <from>
                    <xdr:col>26</xdr:col>
                    <xdr:colOff>59267</xdr:colOff>
                    <xdr:row>61</xdr:row>
                    <xdr:rowOff>12700</xdr:rowOff>
                  </from>
                  <to>
                    <xdr:col>26</xdr:col>
                    <xdr:colOff>592667</xdr:colOff>
                    <xdr:row>62</xdr:row>
                    <xdr:rowOff>8467</xdr:rowOff>
                  </to>
                </anchor>
              </controlPr>
            </control>
          </mc:Choice>
        </mc:AlternateContent>
        <mc:AlternateContent xmlns:mc="http://schemas.openxmlformats.org/markup-compatibility/2006">
          <mc:Choice Requires="x14">
            <control shapeId="280981" r:id="rId66" name="Label 405">
              <controlPr defaultSize="0" autoFill="0" autoLine="0" autoPict="0">
                <anchor moveWithCells="1" sizeWithCells="1">
                  <from>
                    <xdr:col>26</xdr:col>
                    <xdr:colOff>59267</xdr:colOff>
                    <xdr:row>62</xdr:row>
                    <xdr:rowOff>12700</xdr:rowOff>
                  </from>
                  <to>
                    <xdr:col>26</xdr:col>
                    <xdr:colOff>592667</xdr:colOff>
                    <xdr:row>63</xdr:row>
                    <xdr:rowOff>8467</xdr:rowOff>
                  </to>
                </anchor>
              </controlPr>
            </control>
          </mc:Choice>
        </mc:AlternateContent>
        <mc:AlternateContent xmlns:mc="http://schemas.openxmlformats.org/markup-compatibility/2006">
          <mc:Choice Requires="x14">
            <control shapeId="280982" r:id="rId67" name="Label 406">
              <controlPr defaultSize="0" autoFill="0" autoLine="0" autoPict="0">
                <anchor moveWithCells="1" sizeWithCells="1">
                  <from>
                    <xdr:col>26</xdr:col>
                    <xdr:colOff>59267</xdr:colOff>
                    <xdr:row>62</xdr:row>
                    <xdr:rowOff>12700</xdr:rowOff>
                  </from>
                  <to>
                    <xdr:col>26</xdr:col>
                    <xdr:colOff>592667</xdr:colOff>
                    <xdr:row>63</xdr:row>
                    <xdr:rowOff>8467</xdr:rowOff>
                  </to>
                </anchor>
              </controlPr>
            </control>
          </mc:Choice>
        </mc:AlternateContent>
        <mc:AlternateContent xmlns:mc="http://schemas.openxmlformats.org/markup-compatibility/2006">
          <mc:Choice Requires="x14">
            <control shapeId="280983" r:id="rId68" name="Label 407">
              <controlPr defaultSize="0" autoFill="0" autoLine="0" autoPict="0">
                <anchor moveWithCells="1" sizeWithCells="1">
                  <from>
                    <xdr:col>26</xdr:col>
                    <xdr:colOff>59267</xdr:colOff>
                    <xdr:row>63</xdr:row>
                    <xdr:rowOff>12700</xdr:rowOff>
                  </from>
                  <to>
                    <xdr:col>26</xdr:col>
                    <xdr:colOff>592667</xdr:colOff>
                    <xdr:row>64</xdr:row>
                    <xdr:rowOff>8467</xdr:rowOff>
                  </to>
                </anchor>
              </controlPr>
            </control>
          </mc:Choice>
        </mc:AlternateContent>
        <mc:AlternateContent xmlns:mc="http://schemas.openxmlformats.org/markup-compatibility/2006">
          <mc:Choice Requires="x14">
            <control shapeId="280984" r:id="rId69" name="Label 408">
              <controlPr defaultSize="0" autoFill="0" autoLine="0" autoPict="0">
                <anchor moveWithCells="1" sizeWithCells="1">
                  <from>
                    <xdr:col>26</xdr:col>
                    <xdr:colOff>59267</xdr:colOff>
                    <xdr:row>63</xdr:row>
                    <xdr:rowOff>12700</xdr:rowOff>
                  </from>
                  <to>
                    <xdr:col>26</xdr:col>
                    <xdr:colOff>592667</xdr:colOff>
                    <xdr:row>64</xdr:row>
                    <xdr:rowOff>8467</xdr:rowOff>
                  </to>
                </anchor>
              </controlPr>
            </control>
          </mc:Choice>
        </mc:AlternateContent>
        <mc:AlternateContent xmlns:mc="http://schemas.openxmlformats.org/markup-compatibility/2006">
          <mc:Choice Requires="x14">
            <control shapeId="280985" r:id="rId70" name="Label 409">
              <controlPr defaultSize="0" autoFill="0" autoLine="0" autoPict="0">
                <anchor moveWithCells="1" sizeWithCells="1">
                  <from>
                    <xdr:col>26</xdr:col>
                    <xdr:colOff>59267</xdr:colOff>
                    <xdr:row>64</xdr:row>
                    <xdr:rowOff>12700</xdr:rowOff>
                  </from>
                  <to>
                    <xdr:col>26</xdr:col>
                    <xdr:colOff>592667</xdr:colOff>
                    <xdr:row>65</xdr:row>
                    <xdr:rowOff>8467</xdr:rowOff>
                  </to>
                </anchor>
              </controlPr>
            </control>
          </mc:Choice>
        </mc:AlternateContent>
        <mc:AlternateContent xmlns:mc="http://schemas.openxmlformats.org/markup-compatibility/2006">
          <mc:Choice Requires="x14">
            <control shapeId="280986" r:id="rId71" name="Label 410">
              <controlPr defaultSize="0" autoFill="0" autoLine="0" autoPict="0">
                <anchor moveWithCells="1" sizeWithCells="1">
                  <from>
                    <xdr:col>26</xdr:col>
                    <xdr:colOff>59267</xdr:colOff>
                    <xdr:row>64</xdr:row>
                    <xdr:rowOff>12700</xdr:rowOff>
                  </from>
                  <to>
                    <xdr:col>26</xdr:col>
                    <xdr:colOff>592667</xdr:colOff>
                    <xdr:row>65</xdr:row>
                    <xdr:rowOff>8467</xdr:rowOff>
                  </to>
                </anchor>
              </controlPr>
            </control>
          </mc:Choice>
        </mc:AlternateContent>
        <mc:AlternateContent xmlns:mc="http://schemas.openxmlformats.org/markup-compatibility/2006">
          <mc:Choice Requires="x14">
            <control shapeId="280987" r:id="rId72" name="Label 411">
              <controlPr defaultSize="0" autoFill="0" autoLine="0" autoPict="0">
                <anchor moveWithCells="1" sizeWithCells="1">
                  <from>
                    <xdr:col>26</xdr:col>
                    <xdr:colOff>59267</xdr:colOff>
                    <xdr:row>64</xdr:row>
                    <xdr:rowOff>12700</xdr:rowOff>
                  </from>
                  <to>
                    <xdr:col>26</xdr:col>
                    <xdr:colOff>592667</xdr:colOff>
                    <xdr:row>65</xdr:row>
                    <xdr:rowOff>8467</xdr:rowOff>
                  </to>
                </anchor>
              </controlPr>
            </control>
          </mc:Choice>
        </mc:AlternateContent>
        <mc:AlternateContent xmlns:mc="http://schemas.openxmlformats.org/markup-compatibility/2006">
          <mc:Choice Requires="x14">
            <control shapeId="280988" r:id="rId73" name="Label 412">
              <controlPr defaultSize="0" autoFill="0" autoLine="0" autoPict="0">
                <anchor moveWithCells="1" sizeWithCells="1">
                  <from>
                    <xdr:col>26</xdr:col>
                    <xdr:colOff>59267</xdr:colOff>
                    <xdr:row>65</xdr:row>
                    <xdr:rowOff>12700</xdr:rowOff>
                  </from>
                  <to>
                    <xdr:col>26</xdr:col>
                    <xdr:colOff>592667</xdr:colOff>
                    <xdr:row>66</xdr:row>
                    <xdr:rowOff>8467</xdr:rowOff>
                  </to>
                </anchor>
              </controlPr>
            </control>
          </mc:Choice>
        </mc:AlternateContent>
        <mc:AlternateContent xmlns:mc="http://schemas.openxmlformats.org/markup-compatibility/2006">
          <mc:Choice Requires="x14">
            <control shapeId="280989" r:id="rId74" name="Label 413">
              <controlPr defaultSize="0" autoFill="0" autoLine="0" autoPict="0">
                <anchor moveWithCells="1" sizeWithCells="1">
                  <from>
                    <xdr:col>26</xdr:col>
                    <xdr:colOff>59267</xdr:colOff>
                    <xdr:row>65</xdr:row>
                    <xdr:rowOff>12700</xdr:rowOff>
                  </from>
                  <to>
                    <xdr:col>26</xdr:col>
                    <xdr:colOff>592667</xdr:colOff>
                    <xdr:row>66</xdr:row>
                    <xdr:rowOff>8467</xdr:rowOff>
                  </to>
                </anchor>
              </controlPr>
            </control>
          </mc:Choice>
        </mc:AlternateContent>
        <mc:AlternateContent xmlns:mc="http://schemas.openxmlformats.org/markup-compatibility/2006">
          <mc:Choice Requires="x14">
            <control shapeId="280990" r:id="rId75" name="Label 414">
              <controlPr defaultSize="0" autoFill="0" autoLine="0" autoPict="0">
                <anchor moveWithCells="1" sizeWithCells="1">
                  <from>
                    <xdr:col>26</xdr:col>
                    <xdr:colOff>59267</xdr:colOff>
                    <xdr:row>65</xdr:row>
                    <xdr:rowOff>12700</xdr:rowOff>
                  </from>
                  <to>
                    <xdr:col>26</xdr:col>
                    <xdr:colOff>592667</xdr:colOff>
                    <xdr:row>66</xdr:row>
                    <xdr:rowOff>8467</xdr:rowOff>
                  </to>
                </anchor>
              </controlPr>
            </control>
          </mc:Choice>
        </mc:AlternateContent>
        <mc:AlternateContent xmlns:mc="http://schemas.openxmlformats.org/markup-compatibility/2006">
          <mc:Choice Requires="x14">
            <control shapeId="280991" r:id="rId76" name="Label 415">
              <controlPr defaultSize="0" autoFill="0" autoLine="0" autoPict="0">
                <anchor moveWithCells="1" sizeWithCells="1">
                  <from>
                    <xdr:col>26</xdr:col>
                    <xdr:colOff>59267</xdr:colOff>
                    <xdr:row>66</xdr:row>
                    <xdr:rowOff>12700</xdr:rowOff>
                  </from>
                  <to>
                    <xdr:col>26</xdr:col>
                    <xdr:colOff>592667</xdr:colOff>
                    <xdr:row>67</xdr:row>
                    <xdr:rowOff>8467</xdr:rowOff>
                  </to>
                </anchor>
              </controlPr>
            </control>
          </mc:Choice>
        </mc:AlternateContent>
        <mc:AlternateContent xmlns:mc="http://schemas.openxmlformats.org/markup-compatibility/2006">
          <mc:Choice Requires="x14">
            <control shapeId="280992" r:id="rId77" name="Label 416">
              <controlPr defaultSize="0" autoFill="0" autoLine="0" autoPict="0">
                <anchor moveWithCells="1" sizeWithCells="1">
                  <from>
                    <xdr:col>26</xdr:col>
                    <xdr:colOff>59267</xdr:colOff>
                    <xdr:row>66</xdr:row>
                    <xdr:rowOff>12700</xdr:rowOff>
                  </from>
                  <to>
                    <xdr:col>26</xdr:col>
                    <xdr:colOff>592667</xdr:colOff>
                    <xdr:row>67</xdr:row>
                    <xdr:rowOff>8467</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R44"/>
  <sheetViews>
    <sheetView zoomScale="42" zoomScaleNormal="70" workbookViewId="0">
      <selection activeCell="F46" sqref="F46"/>
    </sheetView>
  </sheetViews>
  <sheetFormatPr defaultRowHeight="14.35" x14ac:dyDescent="0.5"/>
  <cols>
    <col min="1" max="1" width="20.64453125" customWidth="1"/>
    <col min="2" max="2" width="23.52734375" customWidth="1"/>
    <col min="3" max="3" width="17.17578125" customWidth="1"/>
    <col min="4" max="4" width="28.17578125" customWidth="1"/>
    <col min="5" max="5" width="18" customWidth="1"/>
    <col min="6" max="6" width="17.8203125" customWidth="1"/>
    <col min="7" max="7" width="19.52734375" customWidth="1"/>
    <col min="8" max="8" width="32.17578125" customWidth="1"/>
    <col min="9" max="9" width="14.703125" customWidth="1"/>
    <col min="10" max="10" width="18.8203125" bestFit="1" customWidth="1"/>
    <col min="11" max="11" width="25.52734375" bestFit="1" customWidth="1"/>
    <col min="12" max="12" width="37.17578125" customWidth="1"/>
    <col min="13" max="13" width="64.46875" customWidth="1"/>
    <col min="14" max="14" width="88.17578125" customWidth="1"/>
    <col min="16" max="16" width="19.05859375" customWidth="1"/>
    <col min="17" max="17" width="33.64453125" customWidth="1"/>
    <col min="18" max="18" width="45.05859375" customWidth="1"/>
  </cols>
  <sheetData>
    <row r="1" spans="1:18" x14ac:dyDescent="0.5">
      <c r="A1" s="9" t="s">
        <v>0</v>
      </c>
      <c r="B1" s="9" t="s">
        <v>1</v>
      </c>
      <c r="C1" s="9" t="s">
        <v>8</v>
      </c>
      <c r="D1" s="9" t="s">
        <v>29</v>
      </c>
      <c r="E1" s="9" t="s">
        <v>32</v>
      </c>
      <c r="F1" s="12" t="s">
        <v>34</v>
      </c>
      <c r="G1" s="12" t="s">
        <v>490</v>
      </c>
      <c r="H1" s="9" t="s">
        <v>43</v>
      </c>
      <c r="I1" s="9" t="s">
        <v>265</v>
      </c>
      <c r="J1" s="9" t="s">
        <v>266</v>
      </c>
      <c r="K1" s="9" t="s">
        <v>267</v>
      </c>
      <c r="L1" s="9" t="s">
        <v>268</v>
      </c>
      <c r="M1" s="26" t="s">
        <v>1436</v>
      </c>
      <c r="N1" s="26" t="s">
        <v>68</v>
      </c>
      <c r="O1" s="129" t="s">
        <v>745</v>
      </c>
      <c r="P1" s="130" t="s">
        <v>767</v>
      </c>
      <c r="Q1" s="128" t="s">
        <v>1065</v>
      </c>
      <c r="R1" s="135" t="s">
        <v>768</v>
      </c>
    </row>
    <row r="2" spans="1:18" x14ac:dyDescent="0.5">
      <c r="A2" s="2" t="s">
        <v>4</v>
      </c>
      <c r="B2" s="3" t="s">
        <v>269</v>
      </c>
      <c r="C2" s="6"/>
      <c r="D2" s="4" t="s">
        <v>270</v>
      </c>
      <c r="E2" s="6"/>
      <c r="F2" s="6"/>
      <c r="G2" s="4" t="s">
        <v>738</v>
      </c>
      <c r="H2" s="6"/>
      <c r="I2" s="4" t="s">
        <v>18</v>
      </c>
      <c r="J2" s="4" t="s">
        <v>217</v>
      </c>
      <c r="K2" s="4" t="s">
        <v>739</v>
      </c>
      <c r="L2" s="4" t="s">
        <v>740</v>
      </c>
      <c r="M2" s="146" t="s">
        <v>1258</v>
      </c>
      <c r="N2" s="146" t="s">
        <v>271</v>
      </c>
      <c r="O2" s="8" t="s">
        <v>746</v>
      </c>
      <c r="P2" s="8" t="s">
        <v>518</v>
      </c>
      <c r="Q2" s="8"/>
      <c r="R2" s="204" t="s">
        <v>1303</v>
      </c>
    </row>
    <row r="3" spans="1:18" x14ac:dyDescent="0.5">
      <c r="A3" s="2" t="s">
        <v>4</v>
      </c>
      <c r="B3" s="3" t="s">
        <v>272</v>
      </c>
      <c r="C3" s="4" t="s">
        <v>216</v>
      </c>
      <c r="D3" s="4" t="s">
        <v>270</v>
      </c>
      <c r="E3" s="6"/>
      <c r="F3" s="6"/>
      <c r="G3" s="6"/>
      <c r="H3" s="6"/>
      <c r="I3" s="6"/>
      <c r="J3" s="6"/>
      <c r="K3" s="6"/>
      <c r="L3" s="6"/>
      <c r="M3" s="146" t="s">
        <v>1260</v>
      </c>
      <c r="N3" s="146" t="s">
        <v>273</v>
      </c>
      <c r="O3" s="8" t="s">
        <v>746</v>
      </c>
      <c r="P3" s="8" t="s">
        <v>518</v>
      </c>
      <c r="Q3" s="150" t="s">
        <v>1306</v>
      </c>
      <c r="R3" s="204"/>
    </row>
    <row r="4" spans="1:18" x14ac:dyDescent="0.5">
      <c r="A4" s="2" t="s">
        <v>4</v>
      </c>
      <c r="B4" s="3" t="s">
        <v>274</v>
      </c>
      <c r="C4" s="6"/>
      <c r="D4" s="4" t="s">
        <v>270</v>
      </c>
      <c r="E4" s="6"/>
      <c r="F4" s="6"/>
      <c r="G4" s="6"/>
      <c r="H4" s="6"/>
      <c r="I4" s="6"/>
      <c r="J4" s="6"/>
      <c r="K4" s="6"/>
      <c r="L4" s="6"/>
      <c r="M4" s="146" t="s">
        <v>1262</v>
      </c>
      <c r="N4" s="147" t="s">
        <v>275</v>
      </c>
      <c r="O4" s="8" t="s">
        <v>746</v>
      </c>
      <c r="P4" s="8" t="s">
        <v>518</v>
      </c>
      <c r="Q4" s="150" t="s">
        <v>1307</v>
      </c>
      <c r="R4" s="204"/>
    </row>
    <row r="5" spans="1:18" x14ac:dyDescent="0.5">
      <c r="A5" s="2" t="s">
        <v>4</v>
      </c>
      <c r="B5" s="3" t="s">
        <v>30</v>
      </c>
      <c r="C5" s="6"/>
      <c r="D5" s="4" t="s">
        <v>270</v>
      </c>
      <c r="E5" s="6"/>
      <c r="F5" s="6"/>
      <c r="G5" s="6"/>
      <c r="H5" s="4" t="s">
        <v>568</v>
      </c>
      <c r="I5" s="6"/>
      <c r="J5" s="6"/>
      <c r="K5" s="6"/>
      <c r="L5" s="6"/>
      <c r="M5" s="146" t="s">
        <v>1263</v>
      </c>
      <c r="N5" s="146" t="s">
        <v>276</v>
      </c>
      <c r="O5" s="8" t="s">
        <v>746</v>
      </c>
      <c r="P5" s="8" t="s">
        <v>518</v>
      </c>
      <c r="Q5" s="150" t="s">
        <v>1308</v>
      </c>
      <c r="R5" s="204"/>
    </row>
    <row r="6" spans="1:18" x14ac:dyDescent="0.5">
      <c r="A6" s="2" t="s">
        <v>4</v>
      </c>
      <c r="B6" s="3" t="s">
        <v>167</v>
      </c>
      <c r="C6" s="4" t="s">
        <v>216</v>
      </c>
      <c r="D6" s="6"/>
      <c r="E6" s="6"/>
      <c r="F6" s="6"/>
      <c r="G6" s="6"/>
      <c r="H6" s="6"/>
      <c r="I6" s="6"/>
      <c r="J6" s="6"/>
      <c r="K6" s="6"/>
      <c r="L6" s="6"/>
      <c r="M6" s="146" t="s">
        <v>1265</v>
      </c>
      <c r="N6" s="147" t="s">
        <v>277</v>
      </c>
      <c r="O6" s="8" t="s">
        <v>746</v>
      </c>
      <c r="P6" s="8" t="s">
        <v>518</v>
      </c>
      <c r="Q6" s="8"/>
      <c r="R6" s="204"/>
    </row>
    <row r="7" spans="1:18" x14ac:dyDescent="0.5">
      <c r="A7" s="2" t="s">
        <v>4</v>
      </c>
      <c r="B7" s="3" t="s">
        <v>31</v>
      </c>
      <c r="C7" s="6"/>
      <c r="D7" s="6"/>
      <c r="E7" s="4" t="s">
        <v>33</v>
      </c>
      <c r="F7" s="4" t="s">
        <v>35</v>
      </c>
      <c r="G7" s="4"/>
      <c r="H7" s="6"/>
      <c r="I7" s="6"/>
      <c r="J7" s="6"/>
      <c r="K7" s="6"/>
      <c r="L7" s="6"/>
      <c r="M7" s="146" t="s">
        <v>1267</v>
      </c>
      <c r="N7" s="147" t="s">
        <v>278</v>
      </c>
      <c r="O7" s="8" t="s">
        <v>746</v>
      </c>
      <c r="P7" s="8" t="s">
        <v>518</v>
      </c>
      <c r="Q7" s="8"/>
      <c r="R7" s="204"/>
    </row>
    <row r="8" spans="1:18" x14ac:dyDescent="0.5">
      <c r="A8" s="2" t="s">
        <v>4</v>
      </c>
      <c r="B8" s="3" t="s">
        <v>37</v>
      </c>
      <c r="C8" s="6"/>
      <c r="D8" s="6"/>
      <c r="E8" s="4" t="s">
        <v>36</v>
      </c>
      <c r="F8" s="6"/>
      <c r="G8" s="6"/>
      <c r="H8" s="6"/>
      <c r="I8" s="6"/>
      <c r="J8" s="6"/>
      <c r="K8" s="6"/>
      <c r="L8" s="6"/>
      <c r="M8" s="146" t="s">
        <v>1268</v>
      </c>
      <c r="N8" s="146" t="s">
        <v>1240</v>
      </c>
      <c r="O8" s="8" t="s">
        <v>746</v>
      </c>
      <c r="P8" s="8" t="s">
        <v>518</v>
      </c>
      <c r="Q8" s="8"/>
      <c r="R8" s="204"/>
    </row>
    <row r="9" spans="1:18" x14ac:dyDescent="0.5">
      <c r="A9" s="2" t="s">
        <v>4</v>
      </c>
      <c r="B9" s="3" t="s">
        <v>49</v>
      </c>
      <c r="C9" s="4" t="s">
        <v>216</v>
      </c>
      <c r="D9" s="6"/>
      <c r="E9" s="6"/>
      <c r="F9" s="6"/>
      <c r="G9" s="6"/>
      <c r="H9" s="6"/>
      <c r="I9" s="6"/>
      <c r="J9" s="6"/>
      <c r="K9" s="6"/>
      <c r="L9" s="6"/>
      <c r="M9" s="146" t="s">
        <v>1271</v>
      </c>
      <c r="N9" s="147" t="s">
        <v>279</v>
      </c>
      <c r="O9" s="8" t="s">
        <v>746</v>
      </c>
      <c r="P9" s="8" t="s">
        <v>518</v>
      </c>
      <c r="Q9" s="8"/>
      <c r="R9" s="204"/>
    </row>
    <row r="10" spans="1:18" x14ac:dyDescent="0.5">
      <c r="A10" s="2" t="s">
        <v>4</v>
      </c>
      <c r="B10" s="3" t="s">
        <v>281</v>
      </c>
      <c r="C10" s="4" t="s">
        <v>216</v>
      </c>
      <c r="D10" s="6"/>
      <c r="E10" s="6"/>
      <c r="F10" s="6"/>
      <c r="G10" s="6"/>
      <c r="H10" s="6"/>
      <c r="I10" s="6"/>
      <c r="J10" s="6"/>
      <c r="K10" s="6"/>
      <c r="L10" s="6"/>
      <c r="M10" s="146" t="s">
        <v>1272</v>
      </c>
      <c r="N10" s="146" t="s">
        <v>280</v>
      </c>
      <c r="O10" s="8" t="s">
        <v>746</v>
      </c>
      <c r="P10" s="8" t="s">
        <v>518</v>
      </c>
      <c r="Q10" s="8"/>
      <c r="R10" s="204"/>
    </row>
    <row r="11" spans="1:18" x14ac:dyDescent="0.5">
      <c r="A11" s="2" t="s">
        <v>4</v>
      </c>
      <c r="B11" s="3" t="s">
        <v>50</v>
      </c>
      <c r="C11" s="4" t="s">
        <v>216</v>
      </c>
      <c r="D11" s="6"/>
      <c r="E11" s="6"/>
      <c r="F11" s="6"/>
      <c r="G11" s="6"/>
      <c r="H11" s="6"/>
      <c r="I11" s="6"/>
      <c r="J11" s="6"/>
      <c r="K11" s="6"/>
      <c r="L11" s="6"/>
      <c r="M11" s="146" t="s">
        <v>1273</v>
      </c>
      <c r="N11" s="146" t="s">
        <v>282</v>
      </c>
      <c r="O11" s="8" t="s">
        <v>746</v>
      </c>
      <c r="P11" s="8" t="s">
        <v>518</v>
      </c>
      <c r="Q11" s="8"/>
      <c r="R11" s="204"/>
    </row>
    <row r="12" spans="1:18" x14ac:dyDescent="0.5">
      <c r="A12" s="2" t="s">
        <v>4</v>
      </c>
      <c r="B12" s="3" t="s">
        <v>51</v>
      </c>
      <c r="C12" s="4" t="s">
        <v>216</v>
      </c>
      <c r="D12" s="6"/>
      <c r="E12" s="6"/>
      <c r="F12" s="6"/>
      <c r="G12" s="6"/>
      <c r="H12" s="6"/>
      <c r="I12" s="6"/>
      <c r="J12" s="6"/>
      <c r="K12" s="6"/>
      <c r="L12" s="6"/>
      <c r="M12" s="146" t="s">
        <v>1274</v>
      </c>
      <c r="N12" s="147" t="s">
        <v>283</v>
      </c>
      <c r="O12" s="8" t="s">
        <v>746</v>
      </c>
      <c r="P12" s="8" t="s">
        <v>518</v>
      </c>
      <c r="Q12" s="8"/>
      <c r="R12" s="190" t="s">
        <v>853</v>
      </c>
    </row>
    <row r="13" spans="1:18" x14ac:dyDescent="0.5">
      <c r="A13" s="2" t="s">
        <v>4</v>
      </c>
      <c r="B13" s="3" t="s">
        <v>52</v>
      </c>
      <c r="C13" s="4" t="s">
        <v>216</v>
      </c>
      <c r="D13" s="6"/>
      <c r="E13" s="6"/>
      <c r="F13" s="6"/>
      <c r="G13" s="6"/>
      <c r="H13" s="6"/>
      <c r="I13" s="6"/>
      <c r="J13" s="6"/>
      <c r="K13" s="6"/>
      <c r="L13" s="6"/>
      <c r="M13" s="146" t="s">
        <v>1275</v>
      </c>
      <c r="N13" s="146" t="s">
        <v>284</v>
      </c>
      <c r="O13" s="8" t="s">
        <v>746</v>
      </c>
      <c r="P13" s="8" t="s">
        <v>518</v>
      </c>
      <c r="Q13" s="8"/>
      <c r="R13" s="190"/>
    </row>
    <row r="14" spans="1:18" x14ac:dyDescent="0.5">
      <c r="A14" s="2" t="s">
        <v>4</v>
      </c>
      <c r="B14" s="3" t="s">
        <v>38</v>
      </c>
      <c r="C14" s="4" t="s">
        <v>216</v>
      </c>
      <c r="D14" s="6"/>
      <c r="E14" s="6"/>
      <c r="F14" s="6"/>
      <c r="G14" s="6"/>
      <c r="H14" s="6"/>
      <c r="I14" s="6"/>
      <c r="J14" s="6"/>
      <c r="K14" s="6"/>
      <c r="L14" s="6"/>
      <c r="M14" s="146" t="s">
        <v>1276</v>
      </c>
      <c r="N14" s="146" t="s">
        <v>285</v>
      </c>
      <c r="O14" s="8" t="s">
        <v>746</v>
      </c>
      <c r="P14" s="8" t="s">
        <v>518</v>
      </c>
      <c r="Q14" s="8"/>
      <c r="R14" s="190"/>
    </row>
    <row r="15" spans="1:18" x14ac:dyDescent="0.5">
      <c r="A15" s="2" t="s">
        <v>4</v>
      </c>
      <c r="B15" s="3" t="s">
        <v>53</v>
      </c>
      <c r="C15" s="4" t="s">
        <v>216</v>
      </c>
      <c r="D15" s="6"/>
      <c r="E15" s="6"/>
      <c r="F15" s="6"/>
      <c r="G15" s="6"/>
      <c r="H15" s="6"/>
      <c r="I15" s="6"/>
      <c r="J15" s="6"/>
      <c r="K15" s="6"/>
      <c r="L15" s="6"/>
      <c r="M15" s="146" t="s">
        <v>1277</v>
      </c>
      <c r="N15" s="146" t="s">
        <v>286</v>
      </c>
      <c r="O15" s="8" t="s">
        <v>746</v>
      </c>
      <c r="P15" s="8" t="s">
        <v>518</v>
      </c>
      <c r="Q15" s="8"/>
      <c r="R15" s="190"/>
    </row>
    <row r="16" spans="1:18" ht="28.7" x14ac:dyDescent="0.5">
      <c r="A16" s="2" t="s">
        <v>4</v>
      </c>
      <c r="B16" s="3" t="s">
        <v>54</v>
      </c>
      <c r="C16" s="4" t="s">
        <v>216</v>
      </c>
      <c r="D16" s="6"/>
      <c r="E16" s="6"/>
      <c r="F16" s="6"/>
      <c r="G16" s="6"/>
      <c r="H16" s="6"/>
      <c r="I16" s="6"/>
      <c r="J16" s="6"/>
      <c r="K16" s="6"/>
      <c r="L16" s="6"/>
      <c r="M16" s="146" t="s">
        <v>1278</v>
      </c>
      <c r="N16" s="147" t="s">
        <v>287</v>
      </c>
      <c r="O16" s="8" t="s">
        <v>746</v>
      </c>
      <c r="P16" s="8" t="s">
        <v>518</v>
      </c>
      <c r="Q16" s="8"/>
      <c r="R16" s="93" t="s">
        <v>1303</v>
      </c>
    </row>
    <row r="17" spans="1:18" x14ac:dyDescent="0.5">
      <c r="A17" s="2" t="s">
        <v>4</v>
      </c>
      <c r="B17" s="3" t="s">
        <v>39</v>
      </c>
      <c r="C17" s="4" t="s">
        <v>216</v>
      </c>
      <c r="D17" s="6"/>
      <c r="E17" s="6"/>
      <c r="F17" s="6"/>
      <c r="G17" s="6"/>
      <c r="H17" s="6"/>
      <c r="I17" s="6"/>
      <c r="J17" s="6"/>
      <c r="K17" s="6"/>
      <c r="L17" s="6"/>
      <c r="M17" s="146" t="s">
        <v>1279</v>
      </c>
      <c r="N17" s="146" t="s">
        <v>288</v>
      </c>
      <c r="O17" s="8" t="s">
        <v>746</v>
      </c>
      <c r="P17" s="8" t="s">
        <v>518</v>
      </c>
      <c r="Q17" s="8"/>
      <c r="R17" s="73" t="s">
        <v>853</v>
      </c>
    </row>
    <row r="18" spans="1:18" x14ac:dyDescent="0.5">
      <c r="A18" s="2" t="s">
        <v>4</v>
      </c>
      <c r="B18" s="3" t="s">
        <v>58</v>
      </c>
      <c r="C18" s="4" t="s">
        <v>216</v>
      </c>
      <c r="D18" s="6"/>
      <c r="E18" s="6"/>
      <c r="F18" s="6"/>
      <c r="G18" s="6"/>
      <c r="H18" s="6"/>
      <c r="I18" s="6"/>
      <c r="J18" s="6"/>
      <c r="K18" s="6"/>
      <c r="L18" s="6"/>
      <c r="M18" s="146" t="s">
        <v>1287</v>
      </c>
      <c r="N18" s="146" t="s">
        <v>289</v>
      </c>
      <c r="O18" s="8" t="s">
        <v>746</v>
      </c>
      <c r="P18" s="8" t="s">
        <v>518</v>
      </c>
      <c r="Q18" s="8"/>
      <c r="R18" s="93" t="s">
        <v>1303</v>
      </c>
    </row>
    <row r="19" spans="1:18" x14ac:dyDescent="0.5">
      <c r="A19" s="2" t="s">
        <v>4</v>
      </c>
      <c r="B19" s="3" t="s">
        <v>41</v>
      </c>
      <c r="C19" s="4" t="s">
        <v>216</v>
      </c>
      <c r="D19" s="6"/>
      <c r="E19" s="6"/>
      <c r="F19" s="6"/>
      <c r="G19" s="6"/>
      <c r="H19" s="4" t="s">
        <v>216</v>
      </c>
      <c r="I19" s="6"/>
      <c r="J19" s="6"/>
      <c r="K19" s="6"/>
      <c r="L19" s="6"/>
      <c r="M19" s="146" t="s">
        <v>1288</v>
      </c>
      <c r="N19" s="146" t="s">
        <v>290</v>
      </c>
      <c r="O19" s="8" t="s">
        <v>746</v>
      </c>
      <c r="P19" s="8" t="s">
        <v>518</v>
      </c>
      <c r="Q19" s="8"/>
      <c r="R19" s="93" t="s">
        <v>1303</v>
      </c>
    </row>
    <row r="20" spans="1:18" x14ac:dyDescent="0.5">
      <c r="A20" s="2" t="s">
        <v>4</v>
      </c>
      <c r="B20" s="3" t="s">
        <v>42</v>
      </c>
      <c r="C20" s="4" t="s">
        <v>216</v>
      </c>
      <c r="D20" s="6"/>
      <c r="E20" s="6"/>
      <c r="F20" s="6"/>
      <c r="G20" s="6"/>
      <c r="H20" s="6"/>
      <c r="I20" s="6"/>
      <c r="J20" s="6"/>
      <c r="K20" s="6"/>
      <c r="L20" s="6"/>
      <c r="M20" s="146" t="s">
        <v>1289</v>
      </c>
      <c r="N20" s="146" t="s">
        <v>291</v>
      </c>
      <c r="O20" s="8" t="s">
        <v>746</v>
      </c>
      <c r="P20" s="8" t="s">
        <v>518</v>
      </c>
      <c r="Q20" s="8"/>
      <c r="R20" s="93" t="s">
        <v>1303</v>
      </c>
    </row>
    <row r="21" spans="1:18" ht="47.5" customHeight="1" x14ac:dyDescent="0.5">
      <c r="A21" s="2" t="s">
        <v>4</v>
      </c>
      <c r="B21" s="3" t="s">
        <v>59</v>
      </c>
      <c r="C21" s="4" t="s">
        <v>216</v>
      </c>
      <c r="D21" s="6"/>
      <c r="E21" s="6"/>
      <c r="F21" s="6"/>
      <c r="G21" s="6"/>
      <c r="H21" s="6"/>
      <c r="I21" s="6"/>
      <c r="J21" s="6"/>
      <c r="K21" s="6"/>
      <c r="L21" s="6"/>
      <c r="M21" s="146" t="s">
        <v>1290</v>
      </c>
      <c r="N21" s="146" t="s">
        <v>292</v>
      </c>
      <c r="O21" s="8" t="s">
        <v>746</v>
      </c>
      <c r="P21" s="8" t="s">
        <v>518</v>
      </c>
      <c r="Q21" s="8"/>
      <c r="R21" s="145" t="s">
        <v>1304</v>
      </c>
    </row>
    <row r="22" spans="1:18" x14ac:dyDescent="0.5">
      <c r="A22" s="2" t="s">
        <v>4</v>
      </c>
      <c r="B22" s="3" t="s">
        <v>60</v>
      </c>
      <c r="C22" s="4" t="s">
        <v>216</v>
      </c>
      <c r="D22" s="6"/>
      <c r="E22" s="6"/>
      <c r="F22" s="6"/>
      <c r="G22" s="6"/>
      <c r="H22" s="6"/>
      <c r="I22" s="6"/>
      <c r="J22" s="6"/>
      <c r="K22" s="6"/>
      <c r="L22" s="6"/>
      <c r="M22" s="146" t="s">
        <v>1291</v>
      </c>
      <c r="N22" s="146" t="s">
        <v>293</v>
      </c>
      <c r="O22" s="8" t="s">
        <v>746</v>
      </c>
      <c r="P22" s="8" t="s">
        <v>518</v>
      </c>
      <c r="Q22" s="8"/>
      <c r="R22" s="8"/>
    </row>
    <row r="23" spans="1:18" x14ac:dyDescent="0.5">
      <c r="A23" s="2" t="s">
        <v>4</v>
      </c>
      <c r="B23" s="3" t="s">
        <v>44</v>
      </c>
      <c r="C23" s="4" t="s">
        <v>216</v>
      </c>
      <c r="D23" s="6"/>
      <c r="E23" s="6"/>
      <c r="F23" s="6"/>
      <c r="G23" s="6"/>
      <c r="H23" s="6"/>
      <c r="I23" s="6"/>
      <c r="J23" s="6"/>
      <c r="K23" s="6"/>
      <c r="L23" s="6"/>
      <c r="M23" s="146" t="s">
        <v>1292</v>
      </c>
      <c r="N23" s="146" t="s">
        <v>294</v>
      </c>
      <c r="O23" s="8" t="s">
        <v>746</v>
      </c>
      <c r="P23" s="8" t="s">
        <v>518</v>
      </c>
      <c r="Q23" s="8"/>
      <c r="R23" s="190" t="s">
        <v>853</v>
      </c>
    </row>
    <row r="24" spans="1:18" x14ac:dyDescent="0.5">
      <c r="A24" s="2" t="s">
        <v>4</v>
      </c>
      <c r="B24" s="3" t="s">
        <v>45</v>
      </c>
      <c r="C24" s="4" t="s">
        <v>216</v>
      </c>
      <c r="D24" s="6"/>
      <c r="E24" s="6"/>
      <c r="F24" s="6"/>
      <c r="G24" s="6"/>
      <c r="H24" s="6"/>
      <c r="I24" s="6"/>
      <c r="J24" s="6"/>
      <c r="K24" s="6"/>
      <c r="L24" s="6"/>
      <c r="M24" s="146" t="s">
        <v>1293</v>
      </c>
      <c r="N24" s="146" t="s">
        <v>295</v>
      </c>
      <c r="O24" s="8" t="s">
        <v>746</v>
      </c>
      <c r="P24" s="8" t="s">
        <v>518</v>
      </c>
      <c r="Q24" s="8"/>
      <c r="R24" s="190"/>
    </row>
    <row r="25" spans="1:18" x14ac:dyDescent="0.5">
      <c r="A25" s="2" t="s">
        <v>4</v>
      </c>
      <c r="B25" s="3" t="s">
        <v>46</v>
      </c>
      <c r="C25" s="4" t="s">
        <v>216</v>
      </c>
      <c r="D25" s="6"/>
      <c r="E25" s="6"/>
      <c r="F25" s="6"/>
      <c r="G25" s="6"/>
      <c r="H25" s="6"/>
      <c r="I25" s="6"/>
      <c r="J25" s="6"/>
      <c r="K25" s="6"/>
      <c r="L25" s="6"/>
      <c r="M25" s="146" t="s">
        <v>1294</v>
      </c>
      <c r="N25" s="147" t="s">
        <v>296</v>
      </c>
      <c r="O25" s="8" t="s">
        <v>746</v>
      </c>
      <c r="P25" s="8" t="s">
        <v>518</v>
      </c>
      <c r="Q25" s="8"/>
      <c r="R25" s="190"/>
    </row>
    <row r="26" spans="1:18" x14ac:dyDescent="0.5">
      <c r="A26" s="2" t="s">
        <v>4</v>
      </c>
      <c r="B26" s="3" t="s">
        <v>47</v>
      </c>
      <c r="C26" s="4" t="s">
        <v>216</v>
      </c>
      <c r="D26" s="6"/>
      <c r="E26" s="6"/>
      <c r="F26" s="6"/>
      <c r="G26" s="6"/>
      <c r="H26" s="6"/>
      <c r="I26" s="6"/>
      <c r="J26" s="6"/>
      <c r="K26" s="6"/>
      <c r="L26" s="6"/>
      <c r="M26" s="146" t="s">
        <v>1295</v>
      </c>
      <c r="N26" s="146" t="s">
        <v>297</v>
      </c>
      <c r="O26" s="8" t="s">
        <v>746</v>
      </c>
      <c r="P26" s="8" t="s">
        <v>518</v>
      </c>
      <c r="Q26" s="8"/>
      <c r="R26" s="199" t="s">
        <v>1303</v>
      </c>
    </row>
    <row r="27" spans="1:18" x14ac:dyDescent="0.5">
      <c r="A27" s="2" t="s">
        <v>4</v>
      </c>
      <c r="B27" s="3" t="s">
        <v>48</v>
      </c>
      <c r="C27" s="4" t="s">
        <v>216</v>
      </c>
      <c r="D27" s="6"/>
      <c r="E27" s="6"/>
      <c r="F27" s="6"/>
      <c r="G27" s="6"/>
      <c r="H27" s="6"/>
      <c r="I27" s="6"/>
      <c r="J27" s="6"/>
      <c r="K27" s="6"/>
      <c r="L27" s="6"/>
      <c r="M27" s="146" t="s">
        <v>1296</v>
      </c>
      <c r="N27" s="147" t="s">
        <v>298</v>
      </c>
      <c r="O27" s="8" t="s">
        <v>746</v>
      </c>
      <c r="P27" s="8" t="s">
        <v>518</v>
      </c>
      <c r="Q27" s="8"/>
      <c r="R27" s="199"/>
    </row>
    <row r="28" spans="1:18" x14ac:dyDescent="0.5">
      <c r="A28" s="2" t="s">
        <v>4</v>
      </c>
      <c r="B28" s="3" t="s">
        <v>61</v>
      </c>
      <c r="C28" s="4" t="s">
        <v>216</v>
      </c>
      <c r="D28" s="6"/>
      <c r="E28" s="6"/>
      <c r="F28" s="6"/>
      <c r="G28" s="6"/>
      <c r="H28" s="6"/>
      <c r="I28" s="6"/>
      <c r="J28" s="6"/>
      <c r="K28" s="6"/>
      <c r="L28" s="6"/>
      <c r="M28" s="146" t="s">
        <v>1297</v>
      </c>
      <c r="N28" s="146" t="s">
        <v>299</v>
      </c>
      <c r="O28" s="8" t="s">
        <v>746</v>
      </c>
      <c r="P28" s="8" t="s">
        <v>518</v>
      </c>
      <c r="Q28" s="8"/>
      <c r="R28" s="199"/>
    </row>
    <row r="29" spans="1:18" x14ac:dyDescent="0.5">
      <c r="A29" s="2" t="s">
        <v>4</v>
      </c>
      <c r="B29" s="3" t="s">
        <v>55</v>
      </c>
      <c r="C29" s="4" t="s">
        <v>216</v>
      </c>
      <c r="D29" s="6"/>
      <c r="E29" s="6"/>
      <c r="F29" s="6"/>
      <c r="G29" s="6"/>
      <c r="H29" s="6"/>
      <c r="I29" s="6"/>
      <c r="J29" s="6"/>
      <c r="K29" s="6"/>
      <c r="L29" s="6"/>
      <c r="M29" s="146" t="s">
        <v>1280</v>
      </c>
      <c r="N29" s="146" t="s">
        <v>300</v>
      </c>
      <c r="O29" s="8" t="s">
        <v>746</v>
      </c>
      <c r="P29" s="8" t="s">
        <v>518</v>
      </c>
      <c r="Q29" s="8"/>
      <c r="R29" s="199"/>
    </row>
    <row r="30" spans="1:18" x14ac:dyDescent="0.5">
      <c r="A30" s="2" t="s">
        <v>4</v>
      </c>
      <c r="B30" s="3" t="s">
        <v>56</v>
      </c>
      <c r="C30" s="4" t="s">
        <v>216</v>
      </c>
      <c r="D30" s="6"/>
      <c r="E30" s="6"/>
      <c r="F30" s="6"/>
      <c r="G30" s="6"/>
      <c r="H30" s="6"/>
      <c r="I30" s="6"/>
      <c r="J30" s="6"/>
      <c r="K30" s="6"/>
      <c r="L30" s="6"/>
      <c r="M30" s="146" t="s">
        <v>1281</v>
      </c>
      <c r="N30" s="146" t="s">
        <v>301</v>
      </c>
      <c r="O30" s="8" t="s">
        <v>746</v>
      </c>
      <c r="P30" s="8" t="s">
        <v>518</v>
      </c>
      <c r="Q30" s="8"/>
      <c r="R30" s="199"/>
    </row>
    <row r="31" spans="1:18" ht="28.7" x14ac:dyDescent="0.5">
      <c r="A31" s="2" t="s">
        <v>4</v>
      </c>
      <c r="B31" s="3" t="s">
        <v>40</v>
      </c>
      <c r="C31" s="4" t="s">
        <v>216</v>
      </c>
      <c r="D31" s="6"/>
      <c r="E31" s="6"/>
      <c r="F31" s="6"/>
      <c r="G31" s="6"/>
      <c r="H31" s="6"/>
      <c r="I31" s="6"/>
      <c r="J31" s="6"/>
      <c r="K31" s="6"/>
      <c r="L31" s="6"/>
      <c r="M31" s="146" t="s">
        <v>1282</v>
      </c>
      <c r="N31" s="147" t="s">
        <v>302</v>
      </c>
      <c r="O31" s="8" t="s">
        <v>746</v>
      </c>
      <c r="P31" s="8" t="s">
        <v>518</v>
      </c>
      <c r="Q31" s="8"/>
      <c r="R31" s="199"/>
    </row>
    <row r="32" spans="1:18" x14ac:dyDescent="0.5">
      <c r="A32" s="2" t="s">
        <v>4</v>
      </c>
      <c r="B32" s="3" t="s">
        <v>57</v>
      </c>
      <c r="C32" s="4" t="s">
        <v>216</v>
      </c>
      <c r="D32" s="6"/>
      <c r="E32" s="6"/>
      <c r="F32" s="6"/>
      <c r="G32" s="6"/>
      <c r="H32" s="6"/>
      <c r="I32" s="6"/>
      <c r="J32" s="6"/>
      <c r="K32" s="6"/>
      <c r="L32" s="6"/>
      <c r="M32" s="146" t="s">
        <v>1283</v>
      </c>
      <c r="N32" s="146" t="s">
        <v>303</v>
      </c>
      <c r="O32" s="8" t="s">
        <v>746</v>
      </c>
      <c r="P32" s="8" t="s">
        <v>518</v>
      </c>
      <c r="Q32" s="8"/>
      <c r="R32" s="199"/>
    </row>
    <row r="33" spans="1:18" x14ac:dyDescent="0.5">
      <c r="A33" s="2" t="s">
        <v>4</v>
      </c>
      <c r="B33" s="3" t="s">
        <v>488</v>
      </c>
      <c r="C33" s="4" t="s">
        <v>216</v>
      </c>
      <c r="D33" s="6"/>
      <c r="E33" s="6"/>
      <c r="F33" s="6"/>
      <c r="G33" s="6"/>
      <c r="H33" s="6"/>
      <c r="I33" s="6"/>
      <c r="J33" s="6"/>
      <c r="K33" s="6"/>
      <c r="L33" s="6"/>
      <c r="M33" s="146" t="s">
        <v>1301</v>
      </c>
      <c r="N33" s="146" t="s">
        <v>489</v>
      </c>
      <c r="O33" s="8" t="s">
        <v>746</v>
      </c>
      <c r="P33" s="8" t="s">
        <v>518</v>
      </c>
      <c r="Q33" s="8"/>
      <c r="R33" s="199"/>
    </row>
    <row r="34" spans="1:18" x14ac:dyDescent="0.5">
      <c r="A34" s="2" t="s">
        <v>4</v>
      </c>
      <c r="B34" s="3" t="s">
        <v>688</v>
      </c>
      <c r="C34" s="4" t="s">
        <v>570</v>
      </c>
      <c r="D34" s="4" t="s">
        <v>689</v>
      </c>
      <c r="E34" s="6"/>
      <c r="F34" s="6"/>
      <c r="G34" s="4" t="s">
        <v>491</v>
      </c>
      <c r="H34" s="6"/>
      <c r="I34" s="4" t="s">
        <v>226</v>
      </c>
      <c r="J34" s="4" t="s">
        <v>217</v>
      </c>
      <c r="K34" s="4" t="s">
        <v>492</v>
      </c>
      <c r="L34" s="4" t="s">
        <v>492</v>
      </c>
      <c r="M34" s="146" t="s">
        <v>1302</v>
      </c>
      <c r="N34" s="146" t="s">
        <v>487</v>
      </c>
      <c r="O34" s="8" t="s">
        <v>746</v>
      </c>
      <c r="P34" s="8" t="s">
        <v>518</v>
      </c>
      <c r="Q34" s="8"/>
      <c r="R34" s="199"/>
    </row>
    <row r="35" spans="1:18" x14ac:dyDescent="0.5">
      <c r="A35" s="2" t="s">
        <v>4</v>
      </c>
      <c r="B35" s="3" t="s">
        <v>1241</v>
      </c>
      <c r="C35" s="6"/>
      <c r="D35" s="6"/>
      <c r="E35" s="6"/>
      <c r="F35" s="6"/>
      <c r="G35" s="6"/>
      <c r="H35" s="6"/>
      <c r="I35" s="6"/>
      <c r="J35" s="6"/>
      <c r="K35" s="6"/>
      <c r="L35" s="6"/>
      <c r="M35" s="146" t="s">
        <v>1259</v>
      </c>
      <c r="N35" s="149" t="s">
        <v>1305</v>
      </c>
      <c r="O35" s="8" t="s">
        <v>746</v>
      </c>
      <c r="P35" s="8" t="s">
        <v>518</v>
      </c>
      <c r="Q35" s="8"/>
      <c r="R35" s="199"/>
    </row>
    <row r="36" spans="1:18" x14ac:dyDescent="0.5">
      <c r="A36" s="2" t="s">
        <v>4</v>
      </c>
      <c r="B36" s="3" t="s">
        <v>1242</v>
      </c>
      <c r="C36" s="6"/>
      <c r="D36" s="6"/>
      <c r="E36" s="6"/>
      <c r="F36" s="6"/>
      <c r="G36" s="6"/>
      <c r="H36" s="6"/>
      <c r="I36" s="6"/>
      <c r="J36" s="6"/>
      <c r="K36" s="6"/>
      <c r="L36" s="6"/>
      <c r="M36" s="146" t="s">
        <v>1261</v>
      </c>
      <c r="N36" s="146" t="s">
        <v>1250</v>
      </c>
      <c r="O36" s="8" t="s">
        <v>746</v>
      </c>
      <c r="P36" s="8" t="s">
        <v>518</v>
      </c>
      <c r="Q36" s="8"/>
      <c r="R36" s="199"/>
    </row>
    <row r="37" spans="1:18" x14ac:dyDescent="0.5">
      <c r="A37" s="2" t="s">
        <v>4</v>
      </c>
      <c r="B37" s="3" t="s">
        <v>1243</v>
      </c>
      <c r="C37" s="6"/>
      <c r="D37" s="6"/>
      <c r="E37" s="6"/>
      <c r="F37" s="6"/>
      <c r="G37" s="6"/>
      <c r="H37" s="6"/>
      <c r="I37" s="6"/>
      <c r="J37" s="6"/>
      <c r="K37" s="6"/>
      <c r="L37" s="6"/>
      <c r="M37" s="146" t="s">
        <v>1266</v>
      </c>
      <c r="N37" s="146" t="s">
        <v>1251</v>
      </c>
      <c r="O37" s="8" t="s">
        <v>746</v>
      </c>
      <c r="P37" s="8" t="s">
        <v>518</v>
      </c>
      <c r="Q37" s="8"/>
      <c r="R37" s="199"/>
    </row>
    <row r="38" spans="1:18" x14ac:dyDescent="0.5">
      <c r="A38" s="2" t="s">
        <v>4</v>
      </c>
      <c r="B38" s="3" t="s">
        <v>1244</v>
      </c>
      <c r="C38" s="6"/>
      <c r="D38" s="6"/>
      <c r="E38" s="6"/>
      <c r="F38" s="6"/>
      <c r="G38" s="6"/>
      <c r="H38" s="6"/>
      <c r="I38" s="6"/>
      <c r="J38" s="6"/>
      <c r="K38" s="6"/>
      <c r="L38" s="6"/>
      <c r="M38" s="146" t="s">
        <v>1269</v>
      </c>
      <c r="N38" s="146" t="s">
        <v>1252</v>
      </c>
      <c r="O38" s="8" t="s">
        <v>746</v>
      </c>
      <c r="P38" s="8" t="s">
        <v>518</v>
      </c>
      <c r="Q38" s="8"/>
      <c r="R38" s="199"/>
    </row>
    <row r="39" spans="1:18" x14ac:dyDescent="0.5">
      <c r="A39" s="2" t="s">
        <v>4</v>
      </c>
      <c r="B39" s="3" t="s">
        <v>1245</v>
      </c>
      <c r="C39" s="6"/>
      <c r="D39" s="6"/>
      <c r="E39" s="6"/>
      <c r="F39" s="6"/>
      <c r="G39" s="6"/>
      <c r="H39" s="6"/>
      <c r="I39" s="6"/>
      <c r="J39" s="6"/>
      <c r="K39" s="6"/>
      <c r="L39" s="6"/>
      <c r="M39" s="146" t="s">
        <v>1270</v>
      </c>
      <c r="N39" s="146" t="s">
        <v>1253</v>
      </c>
      <c r="O39" s="8" t="s">
        <v>746</v>
      </c>
      <c r="P39" s="8" t="s">
        <v>518</v>
      </c>
      <c r="Q39" s="8"/>
      <c r="R39" s="199"/>
    </row>
    <row r="40" spans="1:18" ht="14.5" customHeight="1" x14ac:dyDescent="0.5">
      <c r="A40" s="2" t="s">
        <v>4</v>
      </c>
      <c r="B40" s="3" t="s">
        <v>1246</v>
      </c>
      <c r="C40" s="6"/>
      <c r="D40" s="6"/>
      <c r="E40" s="6"/>
      <c r="F40" s="6"/>
      <c r="G40" s="6"/>
      <c r="H40" s="6"/>
      <c r="I40" s="6"/>
      <c r="J40" s="6"/>
      <c r="K40" s="6"/>
      <c r="L40" s="6"/>
      <c r="M40" s="146" t="s">
        <v>1300</v>
      </c>
      <c r="N40" s="146" t="s">
        <v>1254</v>
      </c>
      <c r="O40" s="8" t="s">
        <v>746</v>
      </c>
      <c r="P40" s="8" t="s">
        <v>518</v>
      </c>
      <c r="Q40" s="8"/>
      <c r="R40" s="134" t="s">
        <v>853</v>
      </c>
    </row>
    <row r="41" spans="1:18" x14ac:dyDescent="0.5">
      <c r="A41" s="2" t="s">
        <v>4</v>
      </c>
      <c r="B41" s="3" t="s">
        <v>1247</v>
      </c>
      <c r="C41" s="6"/>
      <c r="D41" s="6"/>
      <c r="E41" s="6"/>
      <c r="F41" s="6"/>
      <c r="G41" s="6"/>
      <c r="H41" s="6"/>
      <c r="I41" s="6"/>
      <c r="J41" s="6"/>
      <c r="K41" s="6"/>
      <c r="L41" s="6"/>
      <c r="M41" s="146" t="s">
        <v>1264</v>
      </c>
      <c r="N41" s="146" t="s">
        <v>1255</v>
      </c>
      <c r="O41" s="8" t="s">
        <v>746</v>
      </c>
      <c r="P41" s="8" t="s">
        <v>518</v>
      </c>
      <c r="Q41" s="8"/>
      <c r="R41" s="93" t="s">
        <v>1303</v>
      </c>
    </row>
    <row r="42" spans="1:18" x14ac:dyDescent="0.5">
      <c r="A42" s="2" t="s">
        <v>4</v>
      </c>
      <c r="B42" s="3" t="s">
        <v>1248</v>
      </c>
      <c r="C42" s="6"/>
      <c r="D42" s="6"/>
      <c r="E42" s="6"/>
      <c r="F42" s="6"/>
      <c r="G42" s="6"/>
      <c r="H42" s="6"/>
      <c r="I42" s="6"/>
      <c r="J42" s="6"/>
      <c r="K42" s="6"/>
      <c r="L42" s="6"/>
      <c r="M42" s="146" t="s">
        <v>1298</v>
      </c>
      <c r="N42" s="146" t="s">
        <v>1256</v>
      </c>
      <c r="O42" s="8" t="s">
        <v>746</v>
      </c>
      <c r="P42" s="8" t="s">
        <v>518</v>
      </c>
      <c r="Q42" s="8"/>
      <c r="R42" s="93" t="s">
        <v>1303</v>
      </c>
    </row>
    <row r="43" spans="1:18" x14ac:dyDescent="0.5">
      <c r="A43" s="2" t="s">
        <v>4</v>
      </c>
      <c r="B43" s="142" t="s">
        <v>1249</v>
      </c>
      <c r="C43" s="6"/>
      <c r="D43" s="6"/>
      <c r="E43" s="6"/>
      <c r="F43" s="6"/>
      <c r="G43" s="6"/>
      <c r="H43" s="6"/>
      <c r="I43" s="6"/>
      <c r="J43" s="6"/>
      <c r="K43" s="6"/>
      <c r="L43" s="6"/>
      <c r="M43" s="143" t="s">
        <v>1299</v>
      </c>
      <c r="N43" s="148" t="s">
        <v>1257</v>
      </c>
      <c r="O43" s="8" t="s">
        <v>746</v>
      </c>
      <c r="P43" s="148" t="s">
        <v>793</v>
      </c>
      <c r="Q43" s="8"/>
      <c r="R43" s="93" t="s">
        <v>1303</v>
      </c>
    </row>
    <row r="44" spans="1:18" x14ac:dyDescent="0.5">
      <c r="A44" s="2" t="s">
        <v>4</v>
      </c>
      <c r="B44" s="3" t="s">
        <v>1284</v>
      </c>
      <c r="C44" s="6"/>
      <c r="D44" s="6"/>
      <c r="E44" s="6"/>
      <c r="F44" s="6"/>
      <c r="G44" s="6"/>
      <c r="H44" s="6"/>
      <c r="I44" s="6"/>
      <c r="J44" s="6"/>
      <c r="K44" s="6"/>
      <c r="L44" s="6"/>
      <c r="M44" s="146" t="s">
        <v>1285</v>
      </c>
      <c r="N44" s="146" t="s">
        <v>1286</v>
      </c>
      <c r="O44" s="8" t="s">
        <v>746</v>
      </c>
      <c r="P44" s="8" t="s">
        <v>518</v>
      </c>
      <c r="Q44" s="8"/>
      <c r="R44" s="144" t="s">
        <v>1303</v>
      </c>
    </row>
  </sheetData>
  <mergeCells count="4">
    <mergeCell ref="R12:R15"/>
    <mergeCell ref="R23:R25"/>
    <mergeCell ref="R26:R39"/>
    <mergeCell ref="R2:R11"/>
  </mergeCells>
  <phoneticPr fontId="1" type="noConversion"/>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V39"/>
  <sheetViews>
    <sheetView zoomScale="53" zoomScaleNormal="80" workbookViewId="0">
      <selection activeCell="C28" sqref="C28"/>
    </sheetView>
  </sheetViews>
  <sheetFormatPr defaultRowHeight="14.35" x14ac:dyDescent="0.5"/>
  <cols>
    <col min="1" max="1" width="19.8203125" customWidth="1"/>
    <col min="2" max="2" width="38.05859375" customWidth="1"/>
    <col min="3" max="3" width="22.52734375" customWidth="1"/>
    <col min="4" max="4" width="32.17578125" style="1" customWidth="1"/>
    <col min="5" max="5" width="24.3515625" customWidth="1"/>
    <col min="6" max="6" width="12.3515625" customWidth="1"/>
    <col min="7" max="7" width="11.64453125" customWidth="1"/>
    <col min="8" max="8" width="13.52734375" customWidth="1"/>
    <col min="9" max="11" width="11.64453125" customWidth="1"/>
    <col min="12" max="12" width="14.703125" customWidth="1"/>
    <col min="13" max="13" width="14" customWidth="1"/>
    <col min="14" max="15" width="11.64453125" customWidth="1"/>
    <col min="16" max="16" width="12.8203125" customWidth="1"/>
    <col min="17" max="17" width="27.8203125" customWidth="1"/>
    <col min="18" max="18" width="104.703125" customWidth="1"/>
    <col min="21" max="21" width="45.29296875" customWidth="1"/>
    <col min="22" max="22" width="23.29296875" customWidth="1"/>
  </cols>
  <sheetData>
    <row r="1" spans="1:22" x14ac:dyDescent="0.5">
      <c r="A1" s="9" t="s">
        <v>0</v>
      </c>
      <c r="B1" s="9" t="s">
        <v>1</v>
      </c>
      <c r="C1" s="9" t="s">
        <v>8</v>
      </c>
      <c r="D1" s="9" t="s">
        <v>35</v>
      </c>
      <c r="E1" s="9" t="s">
        <v>140</v>
      </c>
      <c r="F1" s="9" t="s">
        <v>655</v>
      </c>
      <c r="G1" s="9" t="s">
        <v>713</v>
      </c>
      <c r="H1" s="7" t="s">
        <v>424</v>
      </c>
      <c r="I1" s="7" t="s">
        <v>425</v>
      </c>
      <c r="J1" s="7" t="s">
        <v>426</v>
      </c>
      <c r="K1" s="7" t="s">
        <v>427</v>
      </c>
      <c r="L1" s="7" t="s">
        <v>428</v>
      </c>
      <c r="M1" s="7" t="s">
        <v>429</v>
      </c>
      <c r="N1" s="7" t="s">
        <v>460</v>
      </c>
      <c r="O1" s="7" t="s">
        <v>461</v>
      </c>
      <c r="P1" s="7" t="s">
        <v>462</v>
      </c>
      <c r="Q1" s="26" t="s">
        <v>1436</v>
      </c>
      <c r="R1" s="26" t="s">
        <v>68</v>
      </c>
      <c r="S1" s="129" t="s">
        <v>745</v>
      </c>
      <c r="T1" s="130" t="s">
        <v>767</v>
      </c>
      <c r="U1" s="128" t="s">
        <v>1065</v>
      </c>
      <c r="V1" s="135" t="s">
        <v>768</v>
      </c>
    </row>
    <row r="2" spans="1:22" x14ac:dyDescent="0.5">
      <c r="A2" s="2" t="s">
        <v>4</v>
      </c>
      <c r="B2" s="3" t="s">
        <v>181</v>
      </c>
      <c r="C2" s="4" t="s">
        <v>449</v>
      </c>
      <c r="D2" s="6"/>
      <c r="E2" s="6"/>
      <c r="F2" s="6"/>
      <c r="G2" s="6"/>
      <c r="H2" s="6"/>
      <c r="I2" s="6"/>
      <c r="J2" s="6"/>
      <c r="K2" s="6"/>
      <c r="L2" s="6"/>
      <c r="M2" s="6"/>
      <c r="N2" s="6"/>
      <c r="O2" s="6"/>
      <c r="P2" s="6"/>
      <c r="Q2" s="8" t="s">
        <v>1166</v>
      </c>
      <c r="R2" s="8" t="s">
        <v>182</v>
      </c>
      <c r="S2" s="55" t="s">
        <v>746</v>
      </c>
      <c r="T2" s="47" t="s">
        <v>518</v>
      </c>
      <c r="U2" s="8"/>
      <c r="V2" s="8"/>
    </row>
    <row r="3" spans="1:22" x14ac:dyDescent="0.5">
      <c r="A3" s="2" t="s">
        <v>4</v>
      </c>
      <c r="B3" s="3" t="s">
        <v>184</v>
      </c>
      <c r="C3" s="4" t="s">
        <v>1441</v>
      </c>
      <c r="D3" s="6"/>
      <c r="E3" s="6"/>
      <c r="F3" s="6"/>
      <c r="G3" s="6"/>
      <c r="H3" s="6"/>
      <c r="I3" s="6"/>
      <c r="J3" s="6"/>
      <c r="K3" s="6"/>
      <c r="L3" s="6"/>
      <c r="M3" s="6"/>
      <c r="N3" s="6"/>
      <c r="O3" s="6"/>
      <c r="P3" s="6"/>
      <c r="Q3" s="8" t="s">
        <v>1167</v>
      </c>
      <c r="R3" s="8" t="s">
        <v>185</v>
      </c>
      <c r="S3" s="55" t="s">
        <v>746</v>
      </c>
      <c r="T3" s="47" t="s">
        <v>518</v>
      </c>
      <c r="U3" s="8"/>
      <c r="V3" s="8"/>
    </row>
    <row r="4" spans="1:22" ht="33.5" customHeight="1" x14ac:dyDescent="0.5">
      <c r="A4" s="2" t="s">
        <v>4</v>
      </c>
      <c r="B4" s="3" t="s">
        <v>142</v>
      </c>
      <c r="C4" s="4" t="s">
        <v>1441</v>
      </c>
      <c r="D4" s="6"/>
      <c r="E4" s="4" t="s">
        <v>379</v>
      </c>
      <c r="F4" s="6"/>
      <c r="G4" s="6"/>
      <c r="H4" s="6"/>
      <c r="I4" s="6"/>
      <c r="J4" s="6"/>
      <c r="K4" s="6"/>
      <c r="L4" s="6"/>
      <c r="M4" s="6"/>
      <c r="N4" s="6"/>
      <c r="O4" s="6"/>
      <c r="P4" s="6"/>
      <c r="Q4" s="8" t="s">
        <v>1150</v>
      </c>
      <c r="R4" s="8" t="s">
        <v>169</v>
      </c>
      <c r="S4" s="55" t="s">
        <v>746</v>
      </c>
      <c r="T4" s="47" t="s">
        <v>518</v>
      </c>
      <c r="U4" s="140" t="s">
        <v>1186</v>
      </c>
      <c r="V4" s="8"/>
    </row>
    <row r="5" spans="1:22" x14ac:dyDescent="0.5">
      <c r="A5" s="2" t="s">
        <v>4</v>
      </c>
      <c r="B5" s="3" t="s">
        <v>143</v>
      </c>
      <c r="C5" s="4" t="s">
        <v>1441</v>
      </c>
      <c r="D5" s="6"/>
      <c r="E5" s="6"/>
      <c r="F5" s="6"/>
      <c r="G5" s="6"/>
      <c r="H5" s="6"/>
      <c r="I5" s="6"/>
      <c r="J5" s="6"/>
      <c r="K5" s="6"/>
      <c r="L5" s="6"/>
      <c r="M5" s="6"/>
      <c r="N5" s="6"/>
      <c r="O5" s="6"/>
      <c r="P5" s="6"/>
      <c r="Q5" s="8" t="s">
        <v>1151</v>
      </c>
      <c r="R5" s="8" t="s">
        <v>170</v>
      </c>
      <c r="S5" s="55" t="s">
        <v>746</v>
      </c>
      <c r="T5" s="47" t="s">
        <v>518</v>
      </c>
      <c r="U5" s="205" t="s">
        <v>1187</v>
      </c>
      <c r="V5" s="8"/>
    </row>
    <row r="6" spans="1:22" x14ac:dyDescent="0.5">
      <c r="A6" s="2" t="s">
        <v>4</v>
      </c>
      <c r="B6" s="3" t="s">
        <v>144</v>
      </c>
      <c r="C6" s="4" t="s">
        <v>216</v>
      </c>
      <c r="D6" s="6"/>
      <c r="E6" s="6"/>
      <c r="F6" s="6"/>
      <c r="G6" s="6"/>
      <c r="H6" s="6"/>
      <c r="I6" s="6"/>
      <c r="J6" s="6"/>
      <c r="K6" s="6"/>
      <c r="L6" s="6"/>
      <c r="M6" s="6"/>
      <c r="N6" s="6"/>
      <c r="O6" s="6"/>
      <c r="P6" s="6"/>
      <c r="Q6" s="8" t="s">
        <v>1152</v>
      </c>
      <c r="R6" s="8" t="s">
        <v>171</v>
      </c>
      <c r="S6" s="55" t="s">
        <v>746</v>
      </c>
      <c r="T6" s="47" t="s">
        <v>518</v>
      </c>
      <c r="U6" s="206"/>
      <c r="V6" s="8"/>
    </row>
    <row r="7" spans="1:22" x14ac:dyDescent="0.5">
      <c r="A7" s="2" t="s">
        <v>4</v>
      </c>
      <c r="B7" s="3" t="s">
        <v>145</v>
      </c>
      <c r="C7" s="4" t="s">
        <v>1441</v>
      </c>
      <c r="D7" s="6"/>
      <c r="E7" s="6"/>
      <c r="F7" s="6"/>
      <c r="G7" s="6"/>
      <c r="H7" s="6"/>
      <c r="I7" s="6"/>
      <c r="J7" s="6"/>
      <c r="K7" s="6"/>
      <c r="L7" s="6"/>
      <c r="M7" s="6"/>
      <c r="N7" s="6"/>
      <c r="O7" s="6"/>
      <c r="P7" s="6"/>
      <c r="Q7" s="8" t="s">
        <v>1153</v>
      </c>
      <c r="R7" s="8" t="s">
        <v>172</v>
      </c>
      <c r="S7" s="55" t="s">
        <v>746</v>
      </c>
      <c r="T7" s="47" t="s">
        <v>518</v>
      </c>
      <c r="U7" s="206"/>
      <c r="V7" s="8"/>
    </row>
    <row r="8" spans="1:22" x14ac:dyDescent="0.5">
      <c r="A8" s="2" t="s">
        <v>4</v>
      </c>
      <c r="B8" s="3" t="s">
        <v>146</v>
      </c>
      <c r="C8" s="4" t="s">
        <v>1441</v>
      </c>
      <c r="D8" s="6"/>
      <c r="E8" s="6"/>
      <c r="F8" s="6"/>
      <c r="G8" s="6"/>
      <c r="H8" s="6"/>
      <c r="I8" s="6"/>
      <c r="J8" s="6"/>
      <c r="K8" s="6"/>
      <c r="L8" s="6"/>
      <c r="M8" s="6"/>
      <c r="N8" s="6"/>
      <c r="O8" s="6"/>
      <c r="P8" s="6"/>
      <c r="Q8" s="8" t="s">
        <v>1154</v>
      </c>
      <c r="R8" s="8" t="s">
        <v>180</v>
      </c>
      <c r="S8" s="55" t="s">
        <v>746</v>
      </c>
      <c r="T8" s="47" t="s">
        <v>518</v>
      </c>
      <c r="U8" s="206"/>
      <c r="V8" s="8"/>
    </row>
    <row r="9" spans="1:22" x14ac:dyDescent="0.5">
      <c r="A9" s="2" t="s">
        <v>4</v>
      </c>
      <c r="B9" s="3" t="s">
        <v>147</v>
      </c>
      <c r="C9" s="4" t="s">
        <v>1441</v>
      </c>
      <c r="D9" s="6"/>
      <c r="E9" s="6"/>
      <c r="F9" s="6"/>
      <c r="G9" s="6"/>
      <c r="H9" s="6"/>
      <c r="I9" s="6"/>
      <c r="J9" s="6"/>
      <c r="K9" s="6"/>
      <c r="L9" s="6"/>
      <c r="M9" s="6"/>
      <c r="N9" s="6"/>
      <c r="O9" s="6"/>
      <c r="P9" s="6"/>
      <c r="Q9" s="8" t="s">
        <v>1155</v>
      </c>
      <c r="R9" s="8" t="s">
        <v>173</v>
      </c>
      <c r="S9" s="55" t="s">
        <v>746</v>
      </c>
      <c r="T9" s="47" t="s">
        <v>518</v>
      </c>
      <c r="U9" s="206"/>
      <c r="V9" s="8"/>
    </row>
    <row r="10" spans="1:22" x14ac:dyDescent="0.5">
      <c r="A10" s="2" t="s">
        <v>4</v>
      </c>
      <c r="B10" s="3" t="s">
        <v>141</v>
      </c>
      <c r="C10" s="4" t="s">
        <v>1441</v>
      </c>
      <c r="D10" s="6"/>
      <c r="E10" s="6"/>
      <c r="F10" s="6"/>
      <c r="G10" s="6"/>
      <c r="H10" s="6"/>
      <c r="I10" s="6"/>
      <c r="J10" s="6"/>
      <c r="K10" s="6"/>
      <c r="L10" s="6"/>
      <c r="M10" s="6"/>
      <c r="N10" s="6"/>
      <c r="O10" s="6"/>
      <c r="P10" s="6"/>
      <c r="Q10" s="8" t="s">
        <v>1156</v>
      </c>
      <c r="R10" s="15" t="s">
        <v>168</v>
      </c>
      <c r="S10" s="55" t="s">
        <v>746</v>
      </c>
      <c r="T10" s="47" t="s">
        <v>518</v>
      </c>
      <c r="U10" s="206"/>
      <c r="V10" s="8"/>
    </row>
    <row r="11" spans="1:22" x14ac:dyDescent="0.5">
      <c r="A11" s="2" t="s">
        <v>4</v>
      </c>
      <c r="B11" s="3" t="s">
        <v>148</v>
      </c>
      <c r="C11" s="4" t="s">
        <v>1441</v>
      </c>
      <c r="D11" s="6"/>
      <c r="E11" s="6"/>
      <c r="F11" s="6"/>
      <c r="G11" s="6"/>
      <c r="H11" s="6"/>
      <c r="I11" s="6"/>
      <c r="J11" s="6"/>
      <c r="K11" s="6"/>
      <c r="L11" s="6"/>
      <c r="M11" s="6"/>
      <c r="N11" s="6"/>
      <c r="O11" s="6"/>
      <c r="P11" s="6"/>
      <c r="Q11" s="8" t="s">
        <v>1157</v>
      </c>
      <c r="R11" s="8" t="s">
        <v>174</v>
      </c>
      <c r="S11" s="55" t="s">
        <v>746</v>
      </c>
      <c r="T11" s="47" t="s">
        <v>518</v>
      </c>
      <c r="U11" s="206"/>
      <c r="V11" s="8"/>
    </row>
    <row r="12" spans="1:22" x14ac:dyDescent="0.5">
      <c r="A12" s="2" t="s">
        <v>4</v>
      </c>
      <c r="B12" s="3" t="s">
        <v>149</v>
      </c>
      <c r="C12" s="4" t="s">
        <v>1441</v>
      </c>
      <c r="D12" s="6"/>
      <c r="E12" s="6"/>
      <c r="F12" s="6"/>
      <c r="G12" s="6"/>
      <c r="H12" s="6"/>
      <c r="I12" s="6"/>
      <c r="J12" s="6"/>
      <c r="K12" s="6"/>
      <c r="L12" s="6"/>
      <c r="M12" s="6"/>
      <c r="N12" s="6"/>
      <c r="O12" s="6"/>
      <c r="P12" s="6"/>
      <c r="Q12" s="8" t="s">
        <v>1158</v>
      </c>
      <c r="R12" s="8" t="s">
        <v>175</v>
      </c>
      <c r="S12" s="55" t="s">
        <v>746</v>
      </c>
      <c r="T12" s="47" t="s">
        <v>518</v>
      </c>
      <c r="U12" s="206"/>
      <c r="V12" s="8"/>
    </row>
    <row r="13" spans="1:22" x14ac:dyDescent="0.5">
      <c r="A13" s="2" t="s">
        <v>4</v>
      </c>
      <c r="B13" s="3" t="s">
        <v>186</v>
      </c>
      <c r="C13" s="4" t="s">
        <v>1441</v>
      </c>
      <c r="D13" s="6"/>
      <c r="E13" s="6"/>
      <c r="F13" s="6"/>
      <c r="G13" s="31" t="b">
        <v>0</v>
      </c>
      <c r="H13" s="6"/>
      <c r="I13" s="6"/>
      <c r="J13" s="6"/>
      <c r="K13" s="6"/>
      <c r="L13" s="6"/>
      <c r="M13" s="6"/>
      <c r="N13" s="6"/>
      <c r="O13" s="6"/>
      <c r="P13" s="6"/>
      <c r="Q13" s="8" t="s">
        <v>1159</v>
      </c>
      <c r="R13" s="8" t="s">
        <v>187</v>
      </c>
      <c r="S13" s="55" t="s">
        <v>746</v>
      </c>
      <c r="T13" s="47" t="s">
        <v>518</v>
      </c>
      <c r="U13" s="206"/>
      <c r="V13" s="8"/>
    </row>
    <row r="14" spans="1:22" x14ac:dyDescent="0.5">
      <c r="A14" s="2" t="s">
        <v>4</v>
      </c>
      <c r="B14" s="3" t="s">
        <v>150</v>
      </c>
      <c r="C14" s="4" t="s">
        <v>1441</v>
      </c>
      <c r="D14" s="6"/>
      <c r="E14" s="6"/>
      <c r="F14" s="6"/>
      <c r="G14" s="6"/>
      <c r="H14" s="6"/>
      <c r="I14" s="6"/>
      <c r="J14" s="6"/>
      <c r="K14" s="6"/>
      <c r="L14" s="6"/>
      <c r="M14" s="6"/>
      <c r="N14" s="6"/>
      <c r="O14" s="6"/>
      <c r="P14" s="6"/>
      <c r="Q14" s="8" t="s">
        <v>1160</v>
      </c>
      <c r="R14" s="8" t="s">
        <v>176</v>
      </c>
      <c r="S14" s="55" t="s">
        <v>746</v>
      </c>
      <c r="T14" s="47" t="s">
        <v>518</v>
      </c>
      <c r="U14" s="206"/>
      <c r="V14" s="8"/>
    </row>
    <row r="15" spans="1:22" x14ac:dyDescent="0.5">
      <c r="A15" s="2" t="s">
        <v>4</v>
      </c>
      <c r="B15" s="3" t="s">
        <v>151</v>
      </c>
      <c r="C15" s="4" t="s">
        <v>1441</v>
      </c>
      <c r="D15" s="6"/>
      <c r="E15" s="6"/>
      <c r="F15" s="6"/>
      <c r="G15" s="6"/>
      <c r="H15" s="6"/>
      <c r="I15" s="6"/>
      <c r="J15" s="6"/>
      <c r="K15" s="6"/>
      <c r="L15" s="6"/>
      <c r="M15" s="6"/>
      <c r="N15" s="6"/>
      <c r="O15" s="6"/>
      <c r="P15" s="6"/>
      <c r="Q15" s="8" t="s">
        <v>1161</v>
      </c>
      <c r="R15" s="8" t="s">
        <v>177</v>
      </c>
      <c r="S15" s="55" t="s">
        <v>746</v>
      </c>
      <c r="T15" s="47" t="s">
        <v>518</v>
      </c>
      <c r="U15" s="206"/>
      <c r="V15" s="8"/>
    </row>
    <row r="16" spans="1:22" x14ac:dyDescent="0.5">
      <c r="A16" s="2" t="s">
        <v>4</v>
      </c>
      <c r="B16" s="3" t="s">
        <v>152</v>
      </c>
      <c r="C16" s="4" t="s">
        <v>1441</v>
      </c>
      <c r="D16" s="6"/>
      <c r="E16" s="6"/>
      <c r="F16" s="6"/>
      <c r="G16" s="6"/>
      <c r="H16" s="6"/>
      <c r="I16" s="6"/>
      <c r="J16" s="6"/>
      <c r="K16" s="6"/>
      <c r="L16" s="6"/>
      <c r="M16" s="6"/>
      <c r="N16" s="6"/>
      <c r="O16" s="6"/>
      <c r="P16" s="6"/>
      <c r="Q16" s="8" t="s">
        <v>1162</v>
      </c>
      <c r="R16" s="15" t="s">
        <v>178</v>
      </c>
      <c r="S16" s="55" t="s">
        <v>746</v>
      </c>
      <c r="T16" s="47" t="s">
        <v>518</v>
      </c>
      <c r="U16" s="206"/>
      <c r="V16" s="8"/>
    </row>
    <row r="17" spans="1:22" x14ac:dyDescent="0.5">
      <c r="A17" s="2" t="s">
        <v>4</v>
      </c>
      <c r="B17" s="3" t="s">
        <v>153</v>
      </c>
      <c r="C17" s="4" t="s">
        <v>1441</v>
      </c>
      <c r="D17" s="6"/>
      <c r="E17" s="6"/>
      <c r="F17" s="6"/>
      <c r="G17" s="6"/>
      <c r="H17" s="6"/>
      <c r="I17" s="6"/>
      <c r="J17" s="6"/>
      <c r="K17" s="6"/>
      <c r="L17" s="6"/>
      <c r="M17" s="6"/>
      <c r="N17" s="6"/>
      <c r="O17" s="6"/>
      <c r="P17" s="6"/>
      <c r="Q17" s="8" t="s">
        <v>1163</v>
      </c>
      <c r="R17" s="15" t="s">
        <v>179</v>
      </c>
      <c r="S17" s="55" t="s">
        <v>746</v>
      </c>
      <c r="T17" s="47" t="s">
        <v>518</v>
      </c>
      <c r="U17" s="207"/>
      <c r="V17" s="8"/>
    </row>
    <row r="18" spans="1:22" x14ac:dyDescent="0.5">
      <c r="A18" s="2" t="s">
        <v>4</v>
      </c>
      <c r="B18" s="3" t="s">
        <v>188</v>
      </c>
      <c r="C18" s="4" t="s">
        <v>1441</v>
      </c>
      <c r="D18" s="6"/>
      <c r="E18" s="6"/>
      <c r="F18" s="6"/>
      <c r="G18" s="6"/>
      <c r="H18" s="6"/>
      <c r="I18" s="6"/>
      <c r="J18" s="6"/>
      <c r="K18" s="6"/>
      <c r="L18" s="6"/>
      <c r="M18" s="6"/>
      <c r="N18" s="6"/>
      <c r="O18" s="6"/>
      <c r="P18" s="6"/>
      <c r="Q18" s="8" t="s">
        <v>1164</v>
      </c>
      <c r="R18" s="15" t="s">
        <v>189</v>
      </c>
      <c r="S18" s="55" t="s">
        <v>746</v>
      </c>
      <c r="T18" s="47" t="s">
        <v>518</v>
      </c>
      <c r="U18" s="205" t="s">
        <v>1188</v>
      </c>
      <c r="V18" s="8"/>
    </row>
    <row r="19" spans="1:22" x14ac:dyDescent="0.5">
      <c r="A19" s="2" t="s">
        <v>4</v>
      </c>
      <c r="B19" s="3" t="s">
        <v>190</v>
      </c>
      <c r="C19" s="4" t="s">
        <v>449</v>
      </c>
      <c r="D19" s="4" t="s">
        <v>450</v>
      </c>
      <c r="E19" s="6"/>
      <c r="F19" s="6"/>
      <c r="G19" s="6"/>
      <c r="H19" s="6"/>
      <c r="I19" s="6"/>
      <c r="J19" s="6"/>
      <c r="K19" s="6"/>
      <c r="L19" s="6"/>
      <c r="M19" s="6"/>
      <c r="N19" s="6"/>
      <c r="O19" s="6"/>
      <c r="P19" s="6"/>
      <c r="Q19" s="8" t="s">
        <v>1165</v>
      </c>
      <c r="R19" s="8" t="s">
        <v>191</v>
      </c>
      <c r="S19" s="55" t="s">
        <v>746</v>
      </c>
      <c r="T19" s="47" t="s">
        <v>518</v>
      </c>
      <c r="U19" s="207"/>
      <c r="V19" s="8"/>
    </row>
    <row r="20" spans="1:22" x14ac:dyDescent="0.5">
      <c r="A20" s="2" t="s">
        <v>4</v>
      </c>
      <c r="B20" s="3" t="s">
        <v>192</v>
      </c>
      <c r="C20" s="4" t="s">
        <v>216</v>
      </c>
      <c r="D20" s="6"/>
      <c r="E20" s="6"/>
      <c r="F20" s="6"/>
      <c r="G20" s="6"/>
      <c r="H20" s="6"/>
      <c r="I20" s="6"/>
      <c r="J20" s="6"/>
      <c r="K20" s="6"/>
      <c r="L20" s="6"/>
      <c r="M20" s="6"/>
      <c r="N20" s="6"/>
      <c r="O20" s="6"/>
      <c r="P20" s="6"/>
      <c r="Q20" s="8" t="s">
        <v>1168</v>
      </c>
      <c r="R20" s="8" t="s">
        <v>193</v>
      </c>
      <c r="S20" s="55" t="s">
        <v>746</v>
      </c>
      <c r="T20" s="47" t="s">
        <v>518</v>
      </c>
      <c r="U20" s="8"/>
      <c r="V20" s="8"/>
    </row>
    <row r="21" spans="1:22" x14ac:dyDescent="0.5">
      <c r="A21" s="2" t="s">
        <v>4</v>
      </c>
      <c r="B21" s="3" t="s">
        <v>194</v>
      </c>
      <c r="C21" s="4" t="s">
        <v>1441</v>
      </c>
      <c r="D21" s="4" t="s">
        <v>379</v>
      </c>
      <c r="E21" s="6"/>
      <c r="F21" s="6"/>
      <c r="G21" s="6"/>
      <c r="H21" s="6"/>
      <c r="I21" s="6"/>
      <c r="J21" s="6"/>
      <c r="K21" s="6"/>
      <c r="L21" s="6"/>
      <c r="M21" s="6"/>
      <c r="N21" s="6"/>
      <c r="O21" s="6"/>
      <c r="P21" s="6"/>
      <c r="Q21" s="8" t="s">
        <v>1169</v>
      </c>
      <c r="R21" s="8" t="s">
        <v>195</v>
      </c>
      <c r="S21" s="55" t="s">
        <v>746</v>
      </c>
      <c r="T21" s="47" t="s">
        <v>518</v>
      </c>
      <c r="U21" s="8"/>
      <c r="V21" s="8"/>
    </row>
    <row r="22" spans="1:22" x14ac:dyDescent="0.5">
      <c r="A22" s="16" t="s">
        <v>4</v>
      </c>
      <c r="B22" s="17" t="s">
        <v>196</v>
      </c>
      <c r="C22" s="4" t="s">
        <v>216</v>
      </c>
      <c r="D22" s="6"/>
      <c r="E22" s="6"/>
      <c r="F22" s="6"/>
      <c r="G22" s="6"/>
      <c r="H22" s="6"/>
      <c r="I22" s="6"/>
      <c r="J22" s="6"/>
      <c r="K22" s="6"/>
      <c r="L22" s="6"/>
      <c r="M22" s="6"/>
      <c r="N22" s="6"/>
      <c r="O22" s="6"/>
      <c r="P22" s="6"/>
      <c r="Q22" s="8" t="s">
        <v>1170</v>
      </c>
      <c r="R22" s="8" t="s">
        <v>197</v>
      </c>
      <c r="S22" s="55" t="s">
        <v>746</v>
      </c>
      <c r="T22" s="47" t="s">
        <v>518</v>
      </c>
      <c r="U22" s="8"/>
      <c r="V22" s="8"/>
    </row>
    <row r="23" spans="1:22" x14ac:dyDescent="0.5">
      <c r="A23" s="16" t="s">
        <v>4</v>
      </c>
      <c r="B23" s="3" t="s">
        <v>198</v>
      </c>
      <c r="C23" s="4" t="s">
        <v>702</v>
      </c>
      <c r="D23" s="6"/>
      <c r="E23" s="6"/>
      <c r="F23" s="6"/>
      <c r="G23" s="6"/>
      <c r="H23" s="6"/>
      <c r="I23" s="6"/>
      <c r="J23" s="6"/>
      <c r="K23" s="6"/>
      <c r="L23" s="6"/>
      <c r="M23" s="6"/>
      <c r="N23" s="6"/>
      <c r="O23" s="6"/>
      <c r="P23" s="6"/>
      <c r="Q23" s="8" t="s">
        <v>1171</v>
      </c>
      <c r="R23" s="8" t="s">
        <v>199</v>
      </c>
      <c r="S23" s="55" t="s">
        <v>746</v>
      </c>
      <c r="T23" s="47" t="s">
        <v>518</v>
      </c>
      <c r="U23" s="8"/>
      <c r="V23" s="8"/>
    </row>
    <row r="24" spans="1:22" x14ac:dyDescent="0.5">
      <c r="A24" s="2" t="s">
        <v>4</v>
      </c>
      <c r="B24" s="3" t="s">
        <v>200</v>
      </c>
      <c r="C24" s="4" t="s">
        <v>702</v>
      </c>
      <c r="D24" s="6"/>
      <c r="E24" s="6"/>
      <c r="F24" s="6"/>
      <c r="G24" s="6"/>
      <c r="H24" s="6"/>
      <c r="I24" s="6"/>
      <c r="J24" s="6"/>
      <c r="K24" s="6"/>
      <c r="L24" s="6"/>
      <c r="M24" s="6"/>
      <c r="N24" s="6"/>
      <c r="O24" s="6"/>
      <c r="P24" s="6"/>
      <c r="Q24" s="8" t="s">
        <v>1172</v>
      </c>
      <c r="R24" s="8" t="s">
        <v>201</v>
      </c>
      <c r="S24" s="55" t="s">
        <v>746</v>
      </c>
      <c r="T24" s="47" t="s">
        <v>518</v>
      </c>
      <c r="U24" s="8"/>
      <c r="V24" s="8"/>
    </row>
    <row r="25" spans="1:22" x14ac:dyDescent="0.5">
      <c r="A25" s="2" t="s">
        <v>4</v>
      </c>
      <c r="B25" s="3" t="s">
        <v>202</v>
      </c>
      <c r="C25" s="4" t="s">
        <v>702</v>
      </c>
      <c r="D25" s="6"/>
      <c r="E25" s="6"/>
      <c r="F25" s="6"/>
      <c r="G25" s="6"/>
      <c r="H25" s="6"/>
      <c r="I25" s="6"/>
      <c r="J25" s="6"/>
      <c r="K25" s="6"/>
      <c r="L25" s="6"/>
      <c r="M25" s="6"/>
      <c r="N25" s="6"/>
      <c r="O25" s="6"/>
      <c r="P25" s="6"/>
      <c r="Q25" s="8" t="s">
        <v>1173</v>
      </c>
      <c r="R25" s="8" t="s">
        <v>203</v>
      </c>
      <c r="S25" s="55" t="s">
        <v>746</v>
      </c>
      <c r="T25" s="47" t="s">
        <v>518</v>
      </c>
      <c r="U25" s="8"/>
      <c r="V25" s="8"/>
    </row>
    <row r="26" spans="1:22" x14ac:dyDescent="0.5">
      <c r="A26" s="2" t="s">
        <v>4</v>
      </c>
      <c r="B26" s="3" t="s">
        <v>204</v>
      </c>
      <c r="C26" s="4" t="s">
        <v>702</v>
      </c>
      <c r="D26" s="6"/>
      <c r="E26" s="6"/>
      <c r="F26" s="6"/>
      <c r="G26" s="6"/>
      <c r="H26" s="6"/>
      <c r="I26" s="6"/>
      <c r="J26" s="6"/>
      <c r="K26" s="6"/>
      <c r="L26" s="6"/>
      <c r="M26" s="6"/>
      <c r="N26" s="6"/>
      <c r="O26" s="6"/>
      <c r="P26" s="6"/>
      <c r="Q26" s="8" t="s">
        <v>1174</v>
      </c>
      <c r="R26" s="8" t="s">
        <v>205</v>
      </c>
      <c r="S26" s="55" t="s">
        <v>746</v>
      </c>
      <c r="T26" s="47" t="s">
        <v>518</v>
      </c>
      <c r="U26" s="114" t="s">
        <v>1189</v>
      </c>
      <c r="V26" s="8"/>
    </row>
    <row r="27" spans="1:22" x14ac:dyDescent="0.5">
      <c r="A27" s="2" t="s">
        <v>4</v>
      </c>
      <c r="B27" s="3" t="s">
        <v>206</v>
      </c>
      <c r="C27" s="4" t="s">
        <v>702</v>
      </c>
      <c r="D27" s="6"/>
      <c r="E27" s="6"/>
      <c r="F27" s="6"/>
      <c r="G27" s="6"/>
      <c r="H27" s="6"/>
      <c r="I27" s="6"/>
      <c r="J27" s="6"/>
      <c r="K27" s="6"/>
      <c r="L27" s="6"/>
      <c r="M27" s="6"/>
      <c r="N27" s="6"/>
      <c r="O27" s="6"/>
      <c r="P27" s="6"/>
      <c r="Q27" s="8" t="s">
        <v>1175</v>
      </c>
      <c r="R27" s="8" t="s">
        <v>207</v>
      </c>
      <c r="S27" s="55" t="s">
        <v>746</v>
      </c>
      <c r="T27" s="47" t="s">
        <v>518</v>
      </c>
      <c r="U27" s="8"/>
      <c r="V27" s="8"/>
    </row>
    <row r="28" spans="1:22" x14ac:dyDescent="0.5">
      <c r="A28" s="2" t="s">
        <v>4</v>
      </c>
      <c r="B28" s="3" t="s">
        <v>208</v>
      </c>
      <c r="C28" t="s">
        <v>1610</v>
      </c>
      <c r="D28" s="6"/>
      <c r="E28" s="6"/>
      <c r="F28" s="6"/>
      <c r="G28" s="6"/>
      <c r="H28" s="6"/>
      <c r="I28" s="6"/>
      <c r="J28" s="6"/>
      <c r="K28" s="6"/>
      <c r="L28" s="6"/>
      <c r="M28" s="6"/>
      <c r="N28" s="6"/>
      <c r="O28" s="6"/>
      <c r="P28" s="6"/>
      <c r="Q28" s="8" t="s">
        <v>1176</v>
      </c>
      <c r="R28" s="8" t="s">
        <v>209</v>
      </c>
      <c r="S28" s="55" t="s">
        <v>746</v>
      </c>
      <c r="T28" s="47" t="s">
        <v>518</v>
      </c>
      <c r="U28" s="8"/>
      <c r="V28" s="8"/>
    </row>
    <row r="29" spans="1:22" x14ac:dyDescent="0.5">
      <c r="A29" s="2" t="s">
        <v>4</v>
      </c>
      <c r="B29" s="3" t="s">
        <v>405</v>
      </c>
      <c r="C29" s="4" t="s">
        <v>1441</v>
      </c>
      <c r="D29" s="6"/>
      <c r="E29" s="6"/>
      <c r="F29" s="6"/>
      <c r="G29" s="6"/>
      <c r="H29" s="6"/>
      <c r="I29" s="6"/>
      <c r="J29" s="6"/>
      <c r="K29" s="6"/>
      <c r="L29" s="6"/>
      <c r="M29" s="6"/>
      <c r="N29" s="6"/>
      <c r="O29" s="6"/>
      <c r="P29" s="6"/>
      <c r="Q29" s="8" t="s">
        <v>1177</v>
      </c>
      <c r="R29" s="8" t="s">
        <v>406</v>
      </c>
      <c r="S29" s="55" t="s">
        <v>746</v>
      </c>
      <c r="T29" s="47" t="s">
        <v>518</v>
      </c>
      <c r="U29" s="8"/>
      <c r="V29" s="8"/>
    </row>
    <row r="30" spans="1:22" x14ac:dyDescent="0.5">
      <c r="A30" s="2" t="s">
        <v>4</v>
      </c>
      <c r="B30" s="3" t="s">
        <v>407</v>
      </c>
      <c r="C30" s="4" t="s">
        <v>1610</v>
      </c>
      <c r="D30" s="6"/>
      <c r="E30" s="6"/>
      <c r="F30" s="6"/>
      <c r="G30" s="6"/>
      <c r="H30" s="6"/>
      <c r="I30" s="6"/>
      <c r="J30" s="6"/>
      <c r="K30" s="6"/>
      <c r="L30" s="6"/>
      <c r="M30" s="6"/>
      <c r="N30" s="6"/>
      <c r="O30" s="6"/>
      <c r="P30" s="6"/>
      <c r="Q30" s="8" t="s">
        <v>1178</v>
      </c>
      <c r="R30" s="8" t="s">
        <v>408</v>
      </c>
      <c r="S30" s="55" t="s">
        <v>746</v>
      </c>
      <c r="T30" s="47" t="s">
        <v>518</v>
      </c>
      <c r="U30" s="8"/>
      <c r="V30" s="8"/>
    </row>
    <row r="31" spans="1:22" x14ac:dyDescent="0.5">
      <c r="A31" s="2" t="s">
        <v>4</v>
      </c>
      <c r="B31" s="3" t="s">
        <v>409</v>
      </c>
      <c r="C31" s="4" t="s">
        <v>1441</v>
      </c>
      <c r="D31" s="6"/>
      <c r="E31" s="6"/>
      <c r="F31" s="6"/>
      <c r="G31" s="6"/>
      <c r="H31" s="6"/>
      <c r="I31" s="6"/>
      <c r="J31" s="6"/>
      <c r="K31" s="6"/>
      <c r="L31" s="6"/>
      <c r="M31" s="6"/>
      <c r="N31" s="6"/>
      <c r="O31" s="6"/>
      <c r="P31" s="6"/>
      <c r="Q31" s="8" t="s">
        <v>1179</v>
      </c>
      <c r="R31" s="15" t="s">
        <v>179</v>
      </c>
      <c r="S31" s="55" t="s">
        <v>746</v>
      </c>
      <c r="T31" s="47" t="s">
        <v>518</v>
      </c>
      <c r="U31" s="8"/>
      <c r="V31" s="8"/>
    </row>
    <row r="32" spans="1:22" x14ac:dyDescent="0.5">
      <c r="A32" s="2" t="s">
        <v>4</v>
      </c>
      <c r="B32" s="3" t="s">
        <v>447</v>
      </c>
      <c r="C32" s="4" t="s">
        <v>1441</v>
      </c>
      <c r="D32" s="6"/>
      <c r="E32" s="6"/>
      <c r="F32" s="6"/>
      <c r="G32" s="6"/>
      <c r="H32" s="6"/>
      <c r="I32" s="6"/>
      <c r="J32" s="6"/>
      <c r="K32" s="6"/>
      <c r="L32" s="6"/>
      <c r="M32" s="6"/>
      <c r="N32" s="6"/>
      <c r="O32" s="6"/>
      <c r="P32" s="6"/>
      <c r="Q32" s="8" t="s">
        <v>1180</v>
      </c>
      <c r="R32" s="8" t="s">
        <v>707</v>
      </c>
      <c r="S32" s="55" t="s">
        <v>746</v>
      </c>
      <c r="T32" s="47" t="s">
        <v>518</v>
      </c>
      <c r="U32" s="8"/>
      <c r="V32" s="8"/>
    </row>
    <row r="33" spans="1:22" x14ac:dyDescent="0.5">
      <c r="A33" s="2" t="s">
        <v>4</v>
      </c>
      <c r="B33" s="3" t="s">
        <v>448</v>
      </c>
      <c r="C33" s="4" t="s">
        <v>1441</v>
      </c>
      <c r="D33" s="6"/>
      <c r="E33" s="6"/>
      <c r="F33" s="6"/>
      <c r="G33" s="6"/>
      <c r="H33" s="6"/>
      <c r="I33" s="6"/>
      <c r="J33" s="6"/>
      <c r="K33" s="6"/>
      <c r="L33" s="6"/>
      <c r="M33" s="6"/>
      <c r="N33" s="6"/>
      <c r="O33" s="6"/>
      <c r="P33" s="6"/>
      <c r="Q33" s="8" t="s">
        <v>1181</v>
      </c>
      <c r="R33" s="8" t="s">
        <v>708</v>
      </c>
      <c r="S33" s="55" t="s">
        <v>746</v>
      </c>
      <c r="T33" s="47" t="s">
        <v>518</v>
      </c>
      <c r="U33" s="8"/>
      <c r="V33" s="8"/>
    </row>
    <row r="34" spans="1:22" x14ac:dyDescent="0.5">
      <c r="A34" s="2" t="s">
        <v>4</v>
      </c>
      <c r="B34" s="17" t="s">
        <v>403</v>
      </c>
      <c r="C34" s="4" t="s">
        <v>1441</v>
      </c>
      <c r="D34" s="6"/>
      <c r="E34" s="4" t="s">
        <v>379</v>
      </c>
      <c r="F34" s="6"/>
      <c r="G34" s="6"/>
      <c r="H34" s="6"/>
      <c r="I34" s="6"/>
      <c r="J34" s="6"/>
      <c r="K34" s="6"/>
      <c r="L34" s="6"/>
      <c r="M34" s="6"/>
      <c r="N34" s="6"/>
      <c r="O34" s="6"/>
      <c r="P34" s="6"/>
      <c r="Q34" s="8" t="s">
        <v>1182</v>
      </c>
      <c r="R34" s="8" t="s">
        <v>404</v>
      </c>
      <c r="S34" s="55" t="s">
        <v>746</v>
      </c>
      <c r="T34" s="47" t="s">
        <v>518</v>
      </c>
      <c r="U34" s="8"/>
      <c r="V34" s="8"/>
    </row>
    <row r="35" spans="1:22" x14ac:dyDescent="0.5">
      <c r="A35" s="2" t="s">
        <v>4</v>
      </c>
      <c r="B35" s="3" t="s">
        <v>451</v>
      </c>
      <c r="C35" s="4" t="s">
        <v>1441</v>
      </c>
      <c r="D35" s="6"/>
      <c r="E35" s="6"/>
      <c r="F35" s="6"/>
      <c r="G35" s="6"/>
      <c r="H35" s="6"/>
      <c r="I35" s="6"/>
      <c r="J35" s="6"/>
      <c r="K35" s="6"/>
      <c r="L35" s="6"/>
      <c r="M35" s="6"/>
      <c r="N35" s="6"/>
      <c r="O35" s="6"/>
      <c r="P35" s="6"/>
      <c r="Q35" s="8" t="s">
        <v>1183</v>
      </c>
      <c r="R35" s="8" t="s">
        <v>185</v>
      </c>
      <c r="S35" s="139" t="s">
        <v>746</v>
      </c>
      <c r="T35" s="48" t="s">
        <v>518</v>
      </c>
      <c r="U35" s="8"/>
      <c r="V35" s="8"/>
    </row>
    <row r="36" spans="1:22" x14ac:dyDescent="0.5">
      <c r="A36" s="2" t="s">
        <v>4</v>
      </c>
      <c r="B36" s="3" t="s">
        <v>654</v>
      </c>
      <c r="C36" s="4" t="s">
        <v>1441</v>
      </c>
      <c r="D36" s="6"/>
      <c r="E36" s="6"/>
      <c r="F36" s="4" t="s">
        <v>656</v>
      </c>
      <c r="G36" s="6"/>
      <c r="H36" s="6"/>
      <c r="I36" s="6"/>
      <c r="J36" s="6"/>
      <c r="K36" s="6"/>
      <c r="L36" s="6"/>
      <c r="M36" s="6"/>
      <c r="N36" s="6"/>
      <c r="O36" s="6"/>
      <c r="P36" s="6"/>
      <c r="Q36" s="8" t="s">
        <v>1184</v>
      </c>
      <c r="R36" s="8" t="s">
        <v>657</v>
      </c>
      <c r="S36" s="55" t="s">
        <v>746</v>
      </c>
      <c r="T36" s="47" t="s">
        <v>518</v>
      </c>
      <c r="U36" s="8"/>
      <c r="V36" s="8"/>
    </row>
    <row r="37" spans="1:22" x14ac:dyDescent="0.5">
      <c r="A37" s="2" t="s">
        <v>4</v>
      </c>
      <c r="B37" s="3" t="s">
        <v>686</v>
      </c>
      <c r="C37" s="4" t="s">
        <v>1441</v>
      </c>
      <c r="D37" s="6"/>
      <c r="E37" s="6"/>
      <c r="F37" s="6"/>
      <c r="G37" s="6"/>
      <c r="H37" s="6"/>
      <c r="I37" s="6"/>
      <c r="J37" s="6"/>
      <c r="K37" s="6"/>
      <c r="L37" s="6"/>
      <c r="M37" s="6"/>
      <c r="N37" s="6"/>
      <c r="O37" s="6"/>
      <c r="P37" s="6"/>
      <c r="Q37" s="8" t="s">
        <v>1185</v>
      </c>
      <c r="R37" s="8" t="s">
        <v>687</v>
      </c>
      <c r="S37" s="55" t="s">
        <v>746</v>
      </c>
      <c r="T37" s="47" t="s">
        <v>518</v>
      </c>
      <c r="U37" s="8"/>
      <c r="V37" s="8"/>
    </row>
    <row r="38" spans="1:22" x14ac:dyDescent="0.5">
      <c r="A38" s="2" t="s">
        <v>4</v>
      </c>
      <c r="B38" s="22" t="s">
        <v>183</v>
      </c>
      <c r="C38" s="4" t="s">
        <v>216</v>
      </c>
      <c r="D38" s="6"/>
      <c r="E38" s="6"/>
      <c r="F38" s="6"/>
      <c r="G38" s="6"/>
      <c r="H38" s="4" t="s">
        <v>360</v>
      </c>
      <c r="I38" s="4" t="s">
        <v>361</v>
      </c>
      <c r="J38" s="4" t="s">
        <v>362</v>
      </c>
      <c r="K38" s="4" t="s">
        <v>363</v>
      </c>
      <c r="L38" s="4" t="s">
        <v>364</v>
      </c>
      <c r="M38" s="4" t="s">
        <v>1338</v>
      </c>
      <c r="N38" s="4" t="s">
        <v>464</v>
      </c>
      <c r="O38" s="4" t="s">
        <v>465</v>
      </c>
      <c r="P38" s="4" t="s">
        <v>517</v>
      </c>
      <c r="Q38" s="119" t="s">
        <v>1052</v>
      </c>
      <c r="R38" s="37" t="s">
        <v>183</v>
      </c>
      <c r="S38" s="136" t="s">
        <v>746</v>
      </c>
      <c r="T38" s="13" t="s">
        <v>518</v>
      </c>
      <c r="U38" s="8"/>
      <c r="V38" s="8"/>
    </row>
    <row r="39" spans="1:22" ht="22.7" x14ac:dyDescent="0.5">
      <c r="A39" s="2" t="s">
        <v>4</v>
      </c>
      <c r="B39" s="118" t="s">
        <v>653</v>
      </c>
      <c r="C39" s="4" t="s">
        <v>216</v>
      </c>
      <c r="D39" s="6"/>
      <c r="E39" s="6"/>
      <c r="F39" s="6"/>
      <c r="G39" s="6"/>
      <c r="H39" s="28" t="s">
        <v>360</v>
      </c>
      <c r="I39" s="4" t="s">
        <v>361</v>
      </c>
      <c r="J39" s="4" t="s">
        <v>362</v>
      </c>
      <c r="K39" s="4" t="s">
        <v>363</v>
      </c>
      <c r="L39" s="4" t="s">
        <v>364</v>
      </c>
      <c r="M39" s="4" t="s">
        <v>1338</v>
      </c>
      <c r="N39" s="4" t="s">
        <v>464</v>
      </c>
      <c r="O39" s="4" t="s">
        <v>465</v>
      </c>
      <c r="P39" s="4" t="s">
        <v>517</v>
      </c>
      <c r="Q39" s="8" t="s">
        <v>1051</v>
      </c>
      <c r="R39" s="86" t="s">
        <v>653</v>
      </c>
      <c r="S39" s="118" t="s">
        <v>746</v>
      </c>
      <c r="T39" s="118" t="s">
        <v>793</v>
      </c>
      <c r="U39" s="52"/>
      <c r="V39" s="8"/>
    </row>
  </sheetData>
  <mergeCells count="2">
    <mergeCell ref="U5:U17"/>
    <mergeCell ref="U18:U19"/>
  </mergeCells>
  <phoneticPr fontId="3" type="noConversion"/>
  <conditionalFormatting sqref="D38:G39">
    <cfRule type="expression" dxfId="1" priority="1">
      <formula>LEN(D38)-LEN(SUBSTITUTE(D38,";","")) - ( LEN($C38)-LEN(SUBSTITUTE($C38,";","")))</formula>
    </cfRule>
  </conditionalFormatting>
  <conditionalFormatting sqref="D2:P37">
    <cfRule type="expression" dxfId="0" priority="3">
      <formula>LEN(D2)-LEN(SUBSTITUTE(D2,";","")) - ( LEN($C2)-LEN(SUBSTITUTE($C2,";","")))</formula>
    </cfRule>
  </conditionalFormatting>
  <pageMargins left="0.7" right="0.7" top="0.75" bottom="0.75" header="0.3" footer="0.3"/>
  <pageSetup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5B0FF-99A6-47DD-BBE3-F254A943BB06}">
  <sheetPr codeName="Sheet31"/>
  <dimension ref="A1:Z19"/>
  <sheetViews>
    <sheetView tabSelected="1" zoomScale="65" workbookViewId="0">
      <selection activeCell="C4" sqref="C4"/>
    </sheetView>
  </sheetViews>
  <sheetFormatPr defaultColWidth="13.52734375" defaultRowHeight="14.35" x14ac:dyDescent="0.5"/>
  <cols>
    <col min="1" max="1" width="14.46875" bestFit="1" customWidth="1"/>
    <col min="2" max="2" width="75.46875" customWidth="1"/>
    <col min="3" max="3" width="27.9375" customWidth="1"/>
    <col min="4" max="4" width="18.64453125" customWidth="1"/>
    <col min="5" max="5" width="22.87890625" customWidth="1"/>
    <col min="7" max="7" width="14" bestFit="1" customWidth="1"/>
    <col min="8" max="8" width="12.8203125" bestFit="1" customWidth="1"/>
    <col min="9" max="9" width="50.17578125" customWidth="1"/>
    <col min="10" max="10" width="15" bestFit="1" customWidth="1"/>
    <col min="11" max="11" width="18.46875" bestFit="1" customWidth="1"/>
    <col min="12" max="12" width="19.8203125" bestFit="1" customWidth="1"/>
    <col min="13" max="15" width="19.8203125" customWidth="1"/>
    <col min="16" max="16" width="10" bestFit="1" customWidth="1"/>
    <col min="17" max="17" width="10.8203125" bestFit="1" customWidth="1"/>
    <col min="18" max="18" width="21.46875" bestFit="1" customWidth="1"/>
    <col min="19" max="19" width="18" customWidth="1"/>
    <col min="20" max="20" width="16" customWidth="1"/>
    <col min="21" max="21" width="25.46875" bestFit="1" customWidth="1"/>
    <col min="22" max="22" width="84.17578125" customWidth="1"/>
    <col min="23" max="23" width="21.3515625" customWidth="1"/>
    <col min="26" max="26" width="20.64453125" customWidth="1"/>
  </cols>
  <sheetData>
    <row r="1" spans="1:26" x14ac:dyDescent="0.5">
      <c r="A1" s="9" t="s">
        <v>0</v>
      </c>
      <c r="B1" s="9" t="s">
        <v>1</v>
      </c>
      <c r="C1" s="9" t="s">
        <v>8</v>
      </c>
      <c r="D1" s="9" t="s">
        <v>2</v>
      </c>
      <c r="E1" s="9" t="s">
        <v>3</v>
      </c>
      <c r="F1" s="9" t="s">
        <v>424</v>
      </c>
      <c r="G1" s="9" t="s">
        <v>425</v>
      </c>
      <c r="H1" s="9" t="s">
        <v>426</v>
      </c>
      <c r="I1" s="9" t="s">
        <v>662</v>
      </c>
      <c r="J1" s="9" t="s">
        <v>427</v>
      </c>
      <c r="K1" s="9" t="s">
        <v>428</v>
      </c>
      <c r="L1" s="9" t="s">
        <v>429</v>
      </c>
      <c r="M1" s="9" t="s">
        <v>458</v>
      </c>
      <c r="N1" s="9" t="s">
        <v>659</v>
      </c>
      <c r="O1" s="9" t="s">
        <v>459</v>
      </c>
      <c r="P1" s="9" t="s">
        <v>460</v>
      </c>
      <c r="Q1" s="9" t="s">
        <v>461</v>
      </c>
      <c r="R1" s="24" t="s">
        <v>463</v>
      </c>
      <c r="S1" s="24" t="s">
        <v>671</v>
      </c>
      <c r="T1" s="24" t="s">
        <v>672</v>
      </c>
      <c r="U1" s="9" t="s">
        <v>1436</v>
      </c>
      <c r="V1" s="26" t="s">
        <v>68</v>
      </c>
      <c r="W1" s="129" t="s">
        <v>745</v>
      </c>
      <c r="X1" s="130" t="s">
        <v>767</v>
      </c>
      <c r="Y1" s="128" t="s">
        <v>1065</v>
      </c>
      <c r="Z1" s="135" t="s">
        <v>768</v>
      </c>
    </row>
    <row r="2" spans="1:26" x14ac:dyDescent="0.5">
      <c r="A2" s="2" t="s">
        <v>4</v>
      </c>
      <c r="B2" s="3" t="s">
        <v>111</v>
      </c>
      <c r="C2" s="6"/>
      <c r="D2" s="6"/>
      <c r="E2" s="6"/>
      <c r="F2" s="4" t="s">
        <v>360</v>
      </c>
      <c r="G2" s="4" t="s">
        <v>361</v>
      </c>
      <c r="H2" s="4" t="s">
        <v>362</v>
      </c>
      <c r="I2" s="6"/>
      <c r="J2" s="4" t="s">
        <v>363</v>
      </c>
      <c r="K2" s="4" t="s">
        <v>364</v>
      </c>
      <c r="L2" s="4" t="s">
        <v>365</v>
      </c>
      <c r="M2" s="4" t="s">
        <v>364</v>
      </c>
      <c r="N2" s="6"/>
      <c r="O2" s="4" t="s">
        <v>365</v>
      </c>
      <c r="P2" s="4" t="s">
        <v>464</v>
      </c>
      <c r="Q2" s="4" t="s">
        <v>465</v>
      </c>
      <c r="R2" s="4" t="s">
        <v>468</v>
      </c>
      <c r="S2" s="6"/>
      <c r="T2" s="6"/>
      <c r="U2" s="37" t="s">
        <v>1203</v>
      </c>
      <c r="V2" s="33" t="s">
        <v>111</v>
      </c>
      <c r="W2" s="34" t="s">
        <v>792</v>
      </c>
      <c r="X2" s="34" t="s">
        <v>518</v>
      </c>
      <c r="Y2" s="8"/>
      <c r="Z2" s="8"/>
    </row>
    <row r="3" spans="1:26" x14ac:dyDescent="0.5">
      <c r="A3" s="2" t="s">
        <v>4</v>
      </c>
      <c r="B3" s="3" t="s">
        <v>109</v>
      </c>
      <c r="C3" t="s">
        <v>1612</v>
      </c>
      <c r="D3" s="6"/>
      <c r="E3" s="6"/>
      <c r="F3" s="4" t="s">
        <v>360</v>
      </c>
      <c r="G3" s="4" t="s">
        <v>361</v>
      </c>
      <c r="H3" s="4" t="s">
        <v>362</v>
      </c>
      <c r="I3" s="6"/>
      <c r="J3" s="4" t="s">
        <v>363</v>
      </c>
      <c r="K3" s="4" t="s">
        <v>364</v>
      </c>
      <c r="L3" s="4" t="s">
        <v>365</v>
      </c>
      <c r="M3" s="6"/>
      <c r="N3" s="6"/>
      <c r="O3" s="6"/>
      <c r="P3" s="4" t="s">
        <v>464</v>
      </c>
      <c r="Q3" s="4" t="s">
        <v>465</v>
      </c>
      <c r="R3" s="4" t="s">
        <v>468</v>
      </c>
      <c r="S3" s="6"/>
      <c r="T3" s="6"/>
      <c r="U3" s="37" t="s">
        <v>1204</v>
      </c>
      <c r="V3" s="126" t="s">
        <v>109</v>
      </c>
      <c r="W3" s="34" t="s">
        <v>792</v>
      </c>
      <c r="X3" s="34" t="s">
        <v>518</v>
      </c>
      <c r="Y3" s="8"/>
      <c r="Z3" s="8"/>
    </row>
    <row r="4" spans="1:26" x14ac:dyDescent="0.5">
      <c r="A4" s="2" t="s">
        <v>4</v>
      </c>
      <c r="B4" s="3" t="s">
        <v>466</v>
      </c>
      <c r="C4" t="s">
        <v>1612</v>
      </c>
      <c r="D4" s="6"/>
      <c r="E4" s="6"/>
      <c r="F4" s="4" t="s">
        <v>360</v>
      </c>
      <c r="G4" s="4" t="s">
        <v>361</v>
      </c>
      <c r="H4" s="4" t="s">
        <v>362</v>
      </c>
      <c r="I4" s="6"/>
      <c r="J4" s="4" t="s">
        <v>363</v>
      </c>
      <c r="K4" s="4" t="s">
        <v>364</v>
      </c>
      <c r="L4" s="4" t="s">
        <v>365</v>
      </c>
      <c r="M4" s="6"/>
      <c r="N4" s="6"/>
      <c r="O4" s="6"/>
      <c r="P4" s="4" t="s">
        <v>464</v>
      </c>
      <c r="Q4" s="4" t="s">
        <v>465</v>
      </c>
      <c r="R4" s="4" t="s">
        <v>468</v>
      </c>
      <c r="S4" s="6"/>
      <c r="T4" s="6"/>
      <c r="U4" s="37" t="s">
        <v>1205</v>
      </c>
      <c r="V4" s="126" t="s">
        <v>466</v>
      </c>
      <c r="W4" s="34" t="s">
        <v>792</v>
      </c>
      <c r="X4" s="34" t="s">
        <v>518</v>
      </c>
      <c r="Y4" s="8"/>
      <c r="Z4" s="8"/>
    </row>
    <row r="5" spans="1:26" x14ac:dyDescent="0.5">
      <c r="A5" s="2" t="s">
        <v>4</v>
      </c>
      <c r="B5" s="3" t="s">
        <v>467</v>
      </c>
      <c r="C5" s="6"/>
      <c r="D5" s="6"/>
      <c r="E5" s="6"/>
      <c r="F5" s="4" t="s">
        <v>360</v>
      </c>
      <c r="G5" s="4" t="s">
        <v>361</v>
      </c>
      <c r="H5" s="4" t="s">
        <v>362</v>
      </c>
      <c r="I5" s="6"/>
      <c r="J5" s="6"/>
      <c r="K5" s="4" t="s">
        <v>364</v>
      </c>
      <c r="L5" s="4" t="s">
        <v>365</v>
      </c>
      <c r="M5" s="6"/>
      <c r="N5" s="6"/>
      <c r="O5" s="6"/>
      <c r="P5" s="4" t="s">
        <v>464</v>
      </c>
      <c r="Q5" s="4" t="s">
        <v>465</v>
      </c>
      <c r="R5" s="4" t="s">
        <v>468</v>
      </c>
      <c r="S5" s="6"/>
      <c r="T5" s="6"/>
      <c r="U5" s="37" t="s">
        <v>1206</v>
      </c>
      <c r="V5" s="126" t="s">
        <v>467</v>
      </c>
      <c r="W5" s="34" t="s">
        <v>792</v>
      </c>
      <c r="X5" s="34" t="s">
        <v>518</v>
      </c>
      <c r="Y5" s="8"/>
      <c r="Z5" s="8"/>
    </row>
    <row r="6" spans="1:26" x14ac:dyDescent="0.5">
      <c r="A6" s="2" t="s">
        <v>4</v>
      </c>
      <c r="B6" s="75" t="s">
        <v>658</v>
      </c>
      <c r="C6" s="4" t="s">
        <v>216</v>
      </c>
      <c r="D6" s="6"/>
      <c r="E6" s="6"/>
      <c r="F6" s="4" t="s">
        <v>360</v>
      </c>
      <c r="G6" s="4" t="s">
        <v>361</v>
      </c>
      <c r="H6" s="4" t="s">
        <v>362</v>
      </c>
      <c r="I6" s="6"/>
      <c r="J6" s="4" t="s">
        <v>363</v>
      </c>
      <c r="K6" s="6"/>
      <c r="L6" s="6"/>
      <c r="M6" s="6"/>
      <c r="N6" s="4" t="s">
        <v>660</v>
      </c>
      <c r="O6" s="6"/>
      <c r="P6" s="6"/>
      <c r="Q6" s="6"/>
      <c r="R6" s="6"/>
      <c r="S6" s="6"/>
      <c r="T6" s="6"/>
      <c r="U6" s="88" t="s">
        <v>1207</v>
      </c>
      <c r="V6" s="88" t="s">
        <v>658</v>
      </c>
      <c r="W6" s="124" t="s">
        <v>792</v>
      </c>
      <c r="X6" s="124" t="s">
        <v>793</v>
      </c>
      <c r="Y6" s="8"/>
      <c r="Z6" s="8"/>
    </row>
    <row r="7" spans="1:26" x14ac:dyDescent="0.5">
      <c r="A7" s="2" t="s">
        <v>4</v>
      </c>
      <c r="B7" s="75" t="s">
        <v>661</v>
      </c>
      <c r="C7" s="6"/>
      <c r="D7" s="4" t="s">
        <v>364</v>
      </c>
      <c r="E7" s="11" t="s">
        <v>365</v>
      </c>
      <c r="F7" s="4" t="s">
        <v>360</v>
      </c>
      <c r="G7" s="4" t="s">
        <v>361</v>
      </c>
      <c r="H7" s="4" t="s">
        <v>362</v>
      </c>
      <c r="I7" s="28" t="s">
        <v>663</v>
      </c>
      <c r="J7" s="6"/>
      <c r="K7" s="6"/>
      <c r="L7" s="6"/>
      <c r="M7" s="6"/>
      <c r="N7" s="6"/>
      <c r="O7" s="6"/>
      <c r="P7" s="6"/>
      <c r="Q7" s="6"/>
      <c r="R7" s="6"/>
      <c r="S7" s="6"/>
      <c r="T7" s="6"/>
      <c r="U7" s="88" t="s">
        <v>1208</v>
      </c>
      <c r="V7" s="88" t="s">
        <v>661</v>
      </c>
      <c r="W7" s="124" t="s">
        <v>792</v>
      </c>
      <c r="X7" s="124" t="s">
        <v>793</v>
      </c>
      <c r="Y7" s="8"/>
      <c r="Z7" s="8"/>
    </row>
    <row r="8" spans="1:26" x14ac:dyDescent="0.5">
      <c r="A8" s="2" t="s">
        <v>4</v>
      </c>
      <c r="B8" s="3" t="s">
        <v>669</v>
      </c>
      <c r="C8" s="4" t="s">
        <v>216</v>
      </c>
      <c r="D8" s="6"/>
      <c r="E8" s="6"/>
      <c r="F8" s="6"/>
      <c r="G8" s="6"/>
      <c r="H8" s="6"/>
      <c r="I8" s="6"/>
      <c r="J8" s="6"/>
      <c r="K8" s="6"/>
      <c r="L8" s="6"/>
      <c r="M8" s="6"/>
      <c r="N8" s="6"/>
      <c r="O8" s="6"/>
      <c r="P8" s="6"/>
      <c r="Q8" s="6"/>
      <c r="R8" s="6"/>
      <c r="S8" s="4" t="s">
        <v>670</v>
      </c>
      <c r="T8" s="4" t="s">
        <v>156</v>
      </c>
      <c r="U8" s="37" t="s">
        <v>1209</v>
      </c>
      <c r="V8" s="126" t="s">
        <v>669</v>
      </c>
      <c r="W8" s="34" t="s">
        <v>746</v>
      </c>
      <c r="X8" s="34" t="s">
        <v>518</v>
      </c>
      <c r="Y8" s="8"/>
      <c r="Z8" s="8"/>
    </row>
    <row r="9" spans="1:26" x14ac:dyDescent="0.5">
      <c r="A9" s="2" t="s">
        <v>4</v>
      </c>
      <c r="B9" s="3" t="s">
        <v>673</v>
      </c>
      <c r="C9" s="4" t="s">
        <v>216</v>
      </c>
      <c r="D9" s="6"/>
      <c r="E9" s="6"/>
      <c r="F9" s="6"/>
      <c r="G9" s="6"/>
      <c r="H9" s="6"/>
      <c r="I9" s="6"/>
      <c r="J9" s="6"/>
      <c r="K9" s="6"/>
      <c r="L9" s="6"/>
      <c r="M9" s="6"/>
      <c r="N9" s="6"/>
      <c r="O9" s="6"/>
      <c r="P9" s="6"/>
      <c r="Q9" s="6"/>
      <c r="R9" s="6"/>
      <c r="S9" s="6"/>
      <c r="T9" s="6"/>
      <c r="U9" s="37" t="s">
        <v>1210</v>
      </c>
      <c r="V9" s="126" t="s">
        <v>673</v>
      </c>
      <c r="W9" s="34" t="s">
        <v>746</v>
      </c>
      <c r="X9" s="34" t="s">
        <v>518</v>
      </c>
      <c r="Y9" s="8"/>
      <c r="Z9" s="8"/>
    </row>
    <row r="10" spans="1:26" x14ac:dyDescent="0.5">
      <c r="A10" s="2" t="s">
        <v>4</v>
      </c>
      <c r="B10" s="3" t="s">
        <v>674</v>
      </c>
      <c r="C10" s="4" t="s">
        <v>216</v>
      </c>
      <c r="D10" s="6"/>
      <c r="E10" s="6"/>
      <c r="F10" s="6"/>
      <c r="G10" s="6"/>
      <c r="H10" s="6"/>
      <c r="I10" s="6"/>
      <c r="J10" s="6"/>
      <c r="K10" s="6"/>
      <c r="L10" s="6"/>
      <c r="M10" s="6"/>
      <c r="N10" s="6"/>
      <c r="O10" s="6"/>
      <c r="P10" s="6"/>
      <c r="Q10" s="6"/>
      <c r="R10" s="6"/>
      <c r="S10" s="6"/>
      <c r="T10" s="6"/>
      <c r="U10" s="37" t="s">
        <v>1211</v>
      </c>
      <c r="V10" s="126" t="s">
        <v>674</v>
      </c>
      <c r="W10" s="34" t="s">
        <v>746</v>
      </c>
      <c r="X10" s="34" t="s">
        <v>518</v>
      </c>
      <c r="Y10" s="8"/>
      <c r="Z10" s="8"/>
    </row>
    <row r="11" spans="1:26" x14ac:dyDescent="0.5">
      <c r="A11" s="2" t="s">
        <v>4</v>
      </c>
      <c r="B11" s="3" t="s">
        <v>683</v>
      </c>
      <c r="C11" s="4" t="s">
        <v>216</v>
      </c>
      <c r="D11" s="6"/>
      <c r="E11" s="6"/>
      <c r="F11" s="6"/>
      <c r="G11" s="6"/>
      <c r="H11" s="6"/>
      <c r="I11" s="6"/>
      <c r="J11" s="6"/>
      <c r="K11" s="6"/>
      <c r="L11" s="6"/>
      <c r="M11" s="6"/>
      <c r="N11" s="6"/>
      <c r="O11" s="6"/>
      <c r="P11" s="6"/>
      <c r="Q11" s="6"/>
      <c r="R11" s="6"/>
      <c r="S11" s="6"/>
      <c r="T11" s="6"/>
      <c r="U11" s="37" t="s">
        <v>1212</v>
      </c>
      <c r="V11" s="126" t="s">
        <v>683</v>
      </c>
      <c r="W11" s="34" t="s">
        <v>746</v>
      </c>
      <c r="X11" s="34" t="s">
        <v>518</v>
      </c>
      <c r="Y11" s="8"/>
      <c r="Z11" s="8"/>
    </row>
    <row r="12" spans="1:26" x14ac:dyDescent="0.5">
      <c r="A12" s="2" t="s">
        <v>4</v>
      </c>
      <c r="B12" s="3" t="s">
        <v>684</v>
      </c>
      <c r="C12" s="4" t="s">
        <v>216</v>
      </c>
      <c r="D12" s="6"/>
      <c r="E12" s="6"/>
      <c r="F12" s="6"/>
      <c r="G12" s="6"/>
      <c r="H12" s="6"/>
      <c r="I12" s="6"/>
      <c r="J12" s="6"/>
      <c r="K12" s="6"/>
      <c r="L12" s="6"/>
      <c r="M12" s="6"/>
      <c r="N12" s="6"/>
      <c r="O12" s="6"/>
      <c r="P12" s="6"/>
      <c r="Q12" s="6"/>
      <c r="R12" s="6"/>
      <c r="S12" s="6"/>
      <c r="T12" s="6"/>
      <c r="U12" s="37" t="s">
        <v>1213</v>
      </c>
      <c r="V12" s="126" t="s">
        <v>684</v>
      </c>
      <c r="W12" s="34" t="s">
        <v>746</v>
      </c>
      <c r="X12" s="34" t="s">
        <v>518</v>
      </c>
      <c r="Y12" s="8"/>
      <c r="Z12" s="8"/>
    </row>
    <row r="13" spans="1:26" x14ac:dyDescent="0.5">
      <c r="A13" s="2" t="s">
        <v>4</v>
      </c>
      <c r="B13" s="3" t="s">
        <v>685</v>
      </c>
      <c r="C13" s="4" t="s">
        <v>216</v>
      </c>
      <c r="D13" s="6"/>
      <c r="E13" s="6"/>
      <c r="F13" s="6"/>
      <c r="G13" s="6"/>
      <c r="H13" s="6"/>
      <c r="I13" s="6"/>
      <c r="J13" s="6"/>
      <c r="K13" s="6"/>
      <c r="L13" s="6"/>
      <c r="M13" s="6"/>
      <c r="N13" s="6"/>
      <c r="O13" s="6"/>
      <c r="P13" s="6"/>
      <c r="Q13" s="6"/>
      <c r="R13" s="6"/>
      <c r="S13" s="6"/>
      <c r="T13" s="6"/>
      <c r="U13" s="37" t="s">
        <v>1214</v>
      </c>
      <c r="V13" s="126" t="s">
        <v>486</v>
      </c>
      <c r="W13" s="34" t="s">
        <v>746</v>
      </c>
      <c r="X13" s="34" t="s">
        <v>518</v>
      </c>
      <c r="Y13" s="8"/>
      <c r="Z13" s="8"/>
    </row>
    <row r="14" spans="1:26" x14ac:dyDescent="0.5">
      <c r="A14" s="2" t="s">
        <v>4</v>
      </c>
      <c r="B14" s="3" t="s">
        <v>1191</v>
      </c>
      <c r="C14" s="6"/>
      <c r="D14" s="6"/>
      <c r="E14" s="6"/>
      <c r="F14" s="6"/>
      <c r="G14" s="6"/>
      <c r="H14" s="6"/>
      <c r="I14" s="6"/>
      <c r="J14" s="6"/>
      <c r="K14" s="6"/>
      <c r="L14" s="6"/>
      <c r="M14" s="6"/>
      <c r="N14" s="6"/>
      <c r="O14" s="6"/>
      <c r="P14" s="6"/>
      <c r="Q14" s="6"/>
      <c r="R14" s="6"/>
      <c r="S14" s="6"/>
      <c r="T14" s="6"/>
      <c r="U14" s="37" t="s">
        <v>1194</v>
      </c>
      <c r="V14" s="33" t="s">
        <v>1191</v>
      </c>
      <c r="W14" s="34" t="s">
        <v>746</v>
      </c>
      <c r="X14" s="34" t="s">
        <v>518</v>
      </c>
      <c r="Y14" s="8"/>
      <c r="Z14" s="8"/>
    </row>
    <row r="15" spans="1:26" x14ac:dyDescent="0.5">
      <c r="A15" s="2" t="s">
        <v>4</v>
      </c>
      <c r="B15" s="3" t="s">
        <v>1192</v>
      </c>
      <c r="C15" s="6"/>
      <c r="D15" s="6"/>
      <c r="E15" s="6"/>
      <c r="F15" s="6"/>
      <c r="G15" s="6"/>
      <c r="H15" s="6"/>
      <c r="I15" s="6"/>
      <c r="J15" s="6"/>
      <c r="K15" s="6"/>
      <c r="L15" s="6"/>
      <c r="M15" s="6"/>
      <c r="N15" s="6"/>
      <c r="O15" s="6"/>
      <c r="P15" s="6"/>
      <c r="Q15" s="6"/>
      <c r="R15" s="6"/>
      <c r="S15" s="6"/>
      <c r="T15" s="6"/>
      <c r="U15" s="37" t="s">
        <v>1195</v>
      </c>
      <c r="V15" s="33" t="s">
        <v>1192</v>
      </c>
      <c r="W15" s="34" t="s">
        <v>746</v>
      </c>
      <c r="X15" s="34" t="s">
        <v>518</v>
      </c>
      <c r="Y15" s="8"/>
      <c r="Z15" s="8"/>
    </row>
    <row r="16" spans="1:26" x14ac:dyDescent="0.5">
      <c r="A16" s="2" t="s">
        <v>4</v>
      </c>
      <c r="B16" s="3" t="s">
        <v>1193</v>
      </c>
      <c r="C16" s="6"/>
      <c r="D16" s="6"/>
      <c r="E16" s="6"/>
      <c r="F16" s="6"/>
      <c r="G16" s="6"/>
      <c r="H16" s="6"/>
      <c r="I16" s="6"/>
      <c r="J16" s="6"/>
      <c r="K16" s="6"/>
      <c r="L16" s="6"/>
      <c r="M16" s="6"/>
      <c r="N16" s="6"/>
      <c r="O16" s="6"/>
      <c r="P16" s="6"/>
      <c r="Q16" s="6"/>
      <c r="R16" s="6"/>
      <c r="S16" s="6"/>
      <c r="T16" s="6"/>
      <c r="U16" s="37" t="s">
        <v>1196</v>
      </c>
      <c r="V16" s="33" t="s">
        <v>1193</v>
      </c>
      <c r="W16" s="34" t="s">
        <v>746</v>
      </c>
      <c r="X16" s="34" t="s">
        <v>518</v>
      </c>
      <c r="Y16" s="8"/>
      <c r="Z16" s="8"/>
    </row>
    <row r="17" spans="1:26" x14ac:dyDescent="0.5">
      <c r="A17" s="2" t="s">
        <v>4</v>
      </c>
      <c r="B17" s="3" t="s">
        <v>1197</v>
      </c>
      <c r="C17" s="6"/>
      <c r="D17" s="6"/>
      <c r="E17" s="6"/>
      <c r="F17" s="6"/>
      <c r="G17" s="6"/>
      <c r="H17" s="6"/>
      <c r="I17" s="6"/>
      <c r="J17" s="6"/>
      <c r="K17" s="6"/>
      <c r="L17" s="6"/>
      <c r="M17" s="6"/>
      <c r="N17" s="6"/>
      <c r="O17" s="6"/>
      <c r="P17" s="6"/>
      <c r="Q17" s="6"/>
      <c r="R17" s="6"/>
      <c r="S17" s="6"/>
      <c r="T17" s="6"/>
      <c r="U17" s="37" t="s">
        <v>1198</v>
      </c>
      <c r="V17" s="126" t="s">
        <v>1197</v>
      </c>
      <c r="W17" s="34" t="s">
        <v>792</v>
      </c>
      <c r="X17" s="34" t="s">
        <v>518</v>
      </c>
      <c r="Y17" s="8"/>
      <c r="Z17" s="8"/>
    </row>
    <row r="18" spans="1:26" x14ac:dyDescent="0.5">
      <c r="A18" s="2" t="s">
        <v>4</v>
      </c>
      <c r="B18" s="3" t="s">
        <v>1199</v>
      </c>
      <c r="C18" s="6"/>
      <c r="D18" s="6"/>
      <c r="E18" s="6"/>
      <c r="F18" s="6"/>
      <c r="G18" s="6"/>
      <c r="H18" s="6"/>
      <c r="I18" s="6"/>
      <c r="J18" s="6"/>
      <c r="K18" s="6"/>
      <c r="L18" s="6"/>
      <c r="M18" s="6"/>
      <c r="N18" s="6"/>
      <c r="O18" s="6"/>
      <c r="P18" s="6"/>
      <c r="Q18" s="6"/>
      <c r="R18" s="6"/>
      <c r="S18" s="6"/>
      <c r="T18" s="6"/>
      <c r="U18" s="37" t="s">
        <v>1200</v>
      </c>
      <c r="V18" s="126" t="s">
        <v>1199</v>
      </c>
      <c r="W18" s="34" t="s">
        <v>746</v>
      </c>
      <c r="X18" s="34" t="s">
        <v>518</v>
      </c>
      <c r="Y18" s="8"/>
      <c r="Z18" s="8"/>
    </row>
    <row r="19" spans="1:26" x14ac:dyDescent="0.5">
      <c r="A19" s="2" t="s">
        <v>4</v>
      </c>
      <c r="B19" s="3" t="s">
        <v>1201</v>
      </c>
      <c r="C19" s="6"/>
      <c r="D19" s="6"/>
      <c r="E19" s="6"/>
      <c r="F19" s="6"/>
      <c r="G19" s="6"/>
      <c r="H19" s="6"/>
      <c r="I19" s="6"/>
      <c r="J19" s="6"/>
      <c r="K19" s="6"/>
      <c r="L19" s="6"/>
      <c r="M19" s="6"/>
      <c r="N19" s="6"/>
      <c r="O19" s="6"/>
      <c r="P19" s="6"/>
      <c r="Q19" s="6"/>
      <c r="R19" s="6"/>
      <c r="S19" s="6"/>
      <c r="T19" s="6"/>
      <c r="U19" s="37" t="s">
        <v>1202</v>
      </c>
      <c r="V19" s="126" t="s">
        <v>1201</v>
      </c>
      <c r="W19" s="34" t="s">
        <v>746</v>
      </c>
      <c r="X19" s="34" t="s">
        <v>518</v>
      </c>
      <c r="Y19" s="8"/>
      <c r="Z19" s="8"/>
    </row>
  </sheetData>
  <pageMargins left="0.7" right="0.7" top="0.75" bottom="0.75" header="0.3" footer="0.3"/>
  <pageSetup orientation="portrait"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M17"/>
  <sheetViews>
    <sheetView zoomScale="60" zoomScaleNormal="85" workbookViewId="0">
      <selection activeCell="C10" sqref="C10"/>
    </sheetView>
  </sheetViews>
  <sheetFormatPr defaultRowHeight="14.35" x14ac:dyDescent="0.5"/>
  <cols>
    <col min="1" max="1" width="14.46875" bestFit="1" customWidth="1"/>
    <col min="2" max="2" width="38.46875" customWidth="1"/>
    <col min="3" max="3" width="26.17578125" customWidth="1"/>
    <col min="4" max="4" width="17.8203125" customWidth="1"/>
    <col min="5" max="5" width="15.64453125" customWidth="1"/>
    <col min="6" max="6" width="26.8203125" customWidth="1"/>
    <col min="7" max="7" width="19.05859375" customWidth="1"/>
    <col min="8" max="8" width="40.64453125" customWidth="1"/>
    <col min="9" max="9" width="62.3515625" customWidth="1"/>
    <col min="11" max="11" width="16.17578125" customWidth="1"/>
    <col min="12" max="12" width="12.3515625" customWidth="1"/>
    <col min="13" max="13" width="47.52734375" customWidth="1"/>
  </cols>
  <sheetData>
    <row r="1" spans="1:13" x14ac:dyDescent="0.5">
      <c r="A1" s="9" t="s">
        <v>0</v>
      </c>
      <c r="B1" s="9" t="s">
        <v>1</v>
      </c>
      <c r="C1" s="9" t="s">
        <v>8</v>
      </c>
      <c r="D1" s="9" t="s">
        <v>714</v>
      </c>
      <c r="E1" s="9" t="s">
        <v>715</v>
      </c>
      <c r="F1" s="9" t="s">
        <v>234</v>
      </c>
      <c r="G1" s="9" t="s">
        <v>235</v>
      </c>
      <c r="H1" s="26" t="s">
        <v>1436</v>
      </c>
      <c r="I1" s="26" t="s">
        <v>68</v>
      </c>
      <c r="J1" s="129" t="s">
        <v>745</v>
      </c>
      <c r="K1" s="130" t="s">
        <v>767</v>
      </c>
      <c r="L1" s="128" t="s">
        <v>1065</v>
      </c>
      <c r="M1" s="135" t="s">
        <v>768</v>
      </c>
    </row>
    <row r="2" spans="1:13" x14ac:dyDescent="0.5">
      <c r="A2" s="2" t="s">
        <v>4</v>
      </c>
      <c r="B2" s="3" t="s">
        <v>154</v>
      </c>
      <c r="C2" s="4" t="s">
        <v>216</v>
      </c>
      <c r="D2" s="6"/>
      <c r="E2" s="6"/>
      <c r="F2" s="6"/>
      <c r="G2" s="6"/>
      <c r="H2" s="101" t="s">
        <v>1215</v>
      </c>
      <c r="I2" s="8" t="s">
        <v>469</v>
      </c>
      <c r="J2" s="34" t="s">
        <v>746</v>
      </c>
      <c r="K2" s="8" t="s">
        <v>518</v>
      </c>
      <c r="L2" s="8"/>
      <c r="M2" s="102" t="s">
        <v>853</v>
      </c>
    </row>
    <row r="3" spans="1:13" ht="35.5" customHeight="1" x14ac:dyDescent="0.5">
      <c r="A3" s="2" t="s">
        <v>4</v>
      </c>
      <c r="B3" s="3" t="s">
        <v>1560</v>
      </c>
      <c r="C3" s="4" t="s">
        <v>216</v>
      </c>
      <c r="D3" s="6"/>
      <c r="E3" s="6"/>
      <c r="F3" s="6"/>
      <c r="G3" s="6"/>
      <c r="H3" s="186" t="s">
        <v>1216</v>
      </c>
      <c r="I3" s="15" t="s">
        <v>470</v>
      </c>
      <c r="J3" s="34" t="s">
        <v>746</v>
      </c>
      <c r="K3" s="8" t="s">
        <v>518</v>
      </c>
      <c r="L3" s="8"/>
      <c r="M3" s="8"/>
    </row>
    <row r="4" spans="1:13" x14ac:dyDescent="0.5">
      <c r="A4" s="2" t="s">
        <v>4</v>
      </c>
      <c r="B4" s="3" t="s">
        <v>471</v>
      </c>
      <c r="C4" s="4" t="s">
        <v>216</v>
      </c>
      <c r="D4" s="6"/>
      <c r="E4" s="6"/>
      <c r="F4" s="6"/>
      <c r="G4" s="6"/>
      <c r="H4" s="141" t="s">
        <v>1217</v>
      </c>
      <c r="I4" s="8" t="s">
        <v>472</v>
      </c>
      <c r="J4" s="34" t="s">
        <v>746</v>
      </c>
      <c r="K4" s="8" t="s">
        <v>518</v>
      </c>
      <c r="L4" s="8"/>
      <c r="M4" s="8"/>
    </row>
    <row r="5" spans="1:13" x14ac:dyDescent="0.5">
      <c r="A5" s="2" t="s">
        <v>4</v>
      </c>
      <c r="B5" s="3" t="s">
        <v>473</v>
      </c>
      <c r="C5" s="4" t="s">
        <v>216</v>
      </c>
      <c r="D5" s="6"/>
      <c r="E5" s="6"/>
      <c r="F5" s="6"/>
      <c r="G5" s="6"/>
      <c r="H5" s="141" t="s">
        <v>1218</v>
      </c>
      <c r="I5" s="8" t="s">
        <v>474</v>
      </c>
      <c r="J5" s="34" t="s">
        <v>746</v>
      </c>
      <c r="K5" s="8" t="s">
        <v>518</v>
      </c>
      <c r="L5" s="8"/>
      <c r="M5" s="8"/>
    </row>
    <row r="6" spans="1:13" x14ac:dyDescent="0.5">
      <c r="A6" s="2" t="s">
        <v>4</v>
      </c>
      <c r="B6" s="3" t="s">
        <v>475</v>
      </c>
      <c r="C6" s="4" t="s">
        <v>216</v>
      </c>
      <c r="D6" s="6"/>
      <c r="E6" s="6"/>
      <c r="F6" s="6"/>
      <c r="G6" s="6"/>
      <c r="H6" s="141" t="s">
        <v>1219</v>
      </c>
      <c r="I6" s="8" t="s">
        <v>476</v>
      </c>
      <c r="J6" s="34" t="s">
        <v>746</v>
      </c>
      <c r="K6" s="8" t="s">
        <v>518</v>
      </c>
      <c r="L6" s="8"/>
      <c r="M6" s="8"/>
    </row>
    <row r="7" spans="1:13" x14ac:dyDescent="0.5">
      <c r="A7" s="2" t="s">
        <v>4</v>
      </c>
      <c r="B7" s="3" t="s">
        <v>477</v>
      </c>
      <c r="C7" s="4" t="s">
        <v>216</v>
      </c>
      <c r="D7" s="6"/>
      <c r="E7" s="6"/>
      <c r="F7" s="4" t="s">
        <v>237</v>
      </c>
      <c r="G7" s="4" t="s">
        <v>238</v>
      </c>
      <c r="H7" s="101" t="s">
        <v>1220</v>
      </c>
      <c r="I7" s="8" t="s">
        <v>478</v>
      </c>
      <c r="J7" s="34" t="s">
        <v>746</v>
      </c>
      <c r="K7" s="8" t="s">
        <v>518</v>
      </c>
      <c r="L7" s="8"/>
      <c r="M7" s="8"/>
    </row>
    <row r="8" spans="1:13" x14ac:dyDescent="0.5">
      <c r="A8" s="2" t="s">
        <v>4</v>
      </c>
      <c r="B8" s="3" t="s">
        <v>479</v>
      </c>
      <c r="C8" s="4" t="s">
        <v>216</v>
      </c>
      <c r="D8" s="6"/>
      <c r="E8" s="6"/>
      <c r="F8" s="6"/>
      <c r="G8" s="6"/>
      <c r="H8" s="101" t="s">
        <v>1221</v>
      </c>
      <c r="I8" s="8" t="s">
        <v>480</v>
      </c>
      <c r="J8" s="34" t="s">
        <v>746</v>
      </c>
      <c r="K8" s="8" t="s">
        <v>518</v>
      </c>
      <c r="L8" s="8"/>
      <c r="M8" s="8"/>
    </row>
    <row r="9" spans="1:13" x14ac:dyDescent="0.5">
      <c r="A9" s="2" t="s">
        <v>4</v>
      </c>
      <c r="B9" s="3" t="s">
        <v>481</v>
      </c>
      <c r="C9" s="4" t="s">
        <v>216</v>
      </c>
      <c r="D9" s="6"/>
      <c r="E9" s="6"/>
      <c r="F9" s="6"/>
      <c r="G9" s="6"/>
      <c r="H9" s="101" t="s">
        <v>1222</v>
      </c>
      <c r="I9" s="8" t="s">
        <v>482</v>
      </c>
      <c r="J9" s="34" t="s">
        <v>746</v>
      </c>
      <c r="K9" s="8" t="s">
        <v>518</v>
      </c>
      <c r="L9" s="8"/>
      <c r="M9" s="8"/>
    </row>
    <row r="10" spans="1:13" x14ac:dyDescent="0.5">
      <c r="A10" s="2" t="s">
        <v>4</v>
      </c>
      <c r="B10" s="3" t="s">
        <v>483</v>
      </c>
      <c r="C10" t="s">
        <v>1612</v>
      </c>
      <c r="D10" s="6"/>
      <c r="E10" s="6"/>
      <c r="F10" s="6"/>
      <c r="G10" s="6"/>
      <c r="H10" s="101" t="s">
        <v>1223</v>
      </c>
      <c r="I10" s="8" t="s">
        <v>484</v>
      </c>
      <c r="J10" s="34" t="s">
        <v>746</v>
      </c>
      <c r="K10" s="8" t="s">
        <v>518</v>
      </c>
      <c r="L10" s="8"/>
      <c r="M10" s="8"/>
    </row>
    <row r="11" spans="1:13" x14ac:dyDescent="0.5">
      <c r="A11" s="2" t="s">
        <v>4</v>
      </c>
      <c r="B11" s="3" t="s">
        <v>485</v>
      </c>
      <c r="C11" s="4" t="s">
        <v>216</v>
      </c>
      <c r="D11" s="6"/>
      <c r="E11" s="6"/>
      <c r="F11" s="6"/>
      <c r="G11" s="6"/>
      <c r="H11" s="101" t="s">
        <v>1224</v>
      </c>
      <c r="I11" s="8" t="s">
        <v>486</v>
      </c>
      <c r="J11" s="34" t="s">
        <v>746</v>
      </c>
      <c r="K11" s="8" t="s">
        <v>518</v>
      </c>
      <c r="L11" s="8"/>
      <c r="M11" s="8"/>
    </row>
    <row r="12" spans="1:13" x14ac:dyDescent="0.5">
      <c r="A12" s="2" t="s">
        <v>4</v>
      </c>
      <c r="B12" s="3" t="s">
        <v>716</v>
      </c>
      <c r="C12" s="6"/>
      <c r="D12" s="4" t="s">
        <v>717</v>
      </c>
      <c r="E12" s="4" t="s">
        <v>718</v>
      </c>
      <c r="F12" s="6"/>
      <c r="G12" s="6"/>
      <c r="H12" s="101" t="s">
        <v>1225</v>
      </c>
      <c r="I12" s="8" t="s">
        <v>719</v>
      </c>
      <c r="J12" s="34" t="s">
        <v>746</v>
      </c>
      <c r="K12" s="8" t="s">
        <v>518</v>
      </c>
      <c r="L12" s="8"/>
      <c r="M12" s="191" t="s">
        <v>853</v>
      </c>
    </row>
    <row r="13" spans="1:13" x14ac:dyDescent="0.5">
      <c r="A13" s="2" t="s">
        <v>4</v>
      </c>
      <c r="B13" s="3" t="s">
        <v>720</v>
      </c>
      <c r="C13" s="6"/>
      <c r="D13" s="4" t="s">
        <v>717</v>
      </c>
      <c r="E13" s="6"/>
      <c r="F13" s="6"/>
      <c r="G13" s="6"/>
      <c r="H13" s="101" t="s">
        <v>1226</v>
      </c>
      <c r="I13" s="8" t="s">
        <v>721</v>
      </c>
      <c r="J13" s="34" t="s">
        <v>746</v>
      </c>
      <c r="K13" s="8" t="s">
        <v>518</v>
      </c>
      <c r="L13" s="8"/>
      <c r="M13" s="193"/>
    </row>
    <row r="14" spans="1:13" ht="22.7" x14ac:dyDescent="0.5">
      <c r="A14" s="2" t="s">
        <v>4</v>
      </c>
      <c r="B14" s="3" t="s">
        <v>1227</v>
      </c>
      <c r="C14" s="6"/>
      <c r="D14" s="6"/>
      <c r="E14" s="6"/>
      <c r="F14" s="6"/>
      <c r="G14" s="6"/>
      <c r="H14" s="101" t="s">
        <v>1231</v>
      </c>
      <c r="I14" s="33" t="s">
        <v>1235</v>
      </c>
      <c r="J14" s="34" t="s">
        <v>746</v>
      </c>
      <c r="K14" s="8" t="s">
        <v>518</v>
      </c>
      <c r="L14" s="8"/>
      <c r="M14" s="208" t="s">
        <v>1239</v>
      </c>
    </row>
    <row r="15" spans="1:13" ht="22.7" x14ac:dyDescent="0.5">
      <c r="A15" s="2" t="s">
        <v>4</v>
      </c>
      <c r="B15" s="3" t="s">
        <v>1228</v>
      </c>
      <c r="C15" s="6"/>
      <c r="D15" s="6"/>
      <c r="E15" s="6"/>
      <c r="F15" s="6"/>
      <c r="G15" s="6"/>
      <c r="H15" s="101" t="s">
        <v>1232</v>
      </c>
      <c r="I15" s="33" t="s">
        <v>1236</v>
      </c>
      <c r="J15" s="34" t="s">
        <v>746</v>
      </c>
      <c r="K15" s="8" t="s">
        <v>518</v>
      </c>
      <c r="L15" s="8"/>
      <c r="M15" s="209"/>
    </row>
    <row r="16" spans="1:13" x14ac:dyDescent="0.5">
      <c r="A16" s="2" t="s">
        <v>4</v>
      </c>
      <c r="B16" s="3" t="s">
        <v>1229</v>
      </c>
      <c r="C16" s="6"/>
      <c r="D16" s="6"/>
      <c r="E16" s="6"/>
      <c r="F16" s="6"/>
      <c r="G16" s="6"/>
      <c r="H16" s="101" t="s">
        <v>1233</v>
      </c>
      <c r="I16" s="33" t="s">
        <v>1237</v>
      </c>
      <c r="J16" s="34" t="s">
        <v>746</v>
      </c>
      <c r="K16" s="8" t="s">
        <v>518</v>
      </c>
      <c r="L16" s="8"/>
      <c r="M16" s="209"/>
    </row>
    <row r="17" spans="1:13" x14ac:dyDescent="0.5">
      <c r="A17" s="2" t="s">
        <v>4</v>
      </c>
      <c r="B17" s="3" t="s">
        <v>1230</v>
      </c>
      <c r="C17" s="6"/>
      <c r="D17" s="6"/>
      <c r="E17" s="6"/>
      <c r="F17" s="6"/>
      <c r="G17" s="6"/>
      <c r="H17" s="101" t="s">
        <v>1234</v>
      </c>
      <c r="I17" s="33" t="s">
        <v>1238</v>
      </c>
      <c r="J17" s="34" t="s">
        <v>746</v>
      </c>
      <c r="K17" s="8" t="s">
        <v>518</v>
      </c>
      <c r="L17" s="8"/>
      <c r="M17" s="210"/>
    </row>
  </sheetData>
  <mergeCells count="2">
    <mergeCell ref="M14:M17"/>
    <mergeCell ref="M12:M13"/>
  </mergeCells>
  <pageMargins left="0.7" right="0.7" top="0.75" bottom="0.75" header="0.3" footer="0.3"/>
  <pageSetup paperSize="9" orientation="portrait"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F7405-4D03-4B46-800C-1AD4FBEFECEE}">
  <dimension ref="A1:I9"/>
  <sheetViews>
    <sheetView zoomScale="72" workbookViewId="0">
      <selection activeCell="D1" sqref="D1"/>
    </sheetView>
  </sheetViews>
  <sheetFormatPr defaultRowHeight="14.35" x14ac:dyDescent="0.5"/>
  <cols>
    <col min="1" max="1" width="14.703125" customWidth="1"/>
    <col min="2" max="3" width="35" customWidth="1"/>
    <col min="4" max="4" width="24.46875" customWidth="1"/>
    <col min="5" max="5" width="36.46875" customWidth="1"/>
    <col min="7" max="7" width="16.29296875" customWidth="1"/>
    <col min="8" max="8" width="11.52734375" customWidth="1"/>
    <col min="9" max="9" width="21.703125" customWidth="1"/>
  </cols>
  <sheetData>
    <row r="1" spans="1:9" x14ac:dyDescent="0.5">
      <c r="A1" s="9" t="s">
        <v>0</v>
      </c>
      <c r="B1" s="9" t="s">
        <v>1</v>
      </c>
      <c r="C1" s="26" t="s">
        <v>8</v>
      </c>
      <c r="D1" s="26" t="s">
        <v>1436</v>
      </c>
      <c r="E1" s="26" t="s">
        <v>68</v>
      </c>
      <c r="F1" s="158" t="s">
        <v>745</v>
      </c>
      <c r="G1" s="159" t="s">
        <v>767</v>
      </c>
      <c r="H1" s="160" t="s">
        <v>770</v>
      </c>
      <c r="I1" s="161" t="s">
        <v>768</v>
      </c>
    </row>
    <row r="2" spans="1:9" x14ac:dyDescent="0.5">
      <c r="A2" s="2" t="s">
        <v>4</v>
      </c>
      <c r="B2" s="157" t="s">
        <v>1382</v>
      </c>
      <c r="C2" s="4" t="s">
        <v>216</v>
      </c>
      <c r="D2" s="8" t="s">
        <v>1404</v>
      </c>
      <c r="E2" s="8" t="s">
        <v>1382</v>
      </c>
      <c r="F2" s="157" t="s">
        <v>792</v>
      </c>
      <c r="G2" s="157" t="s">
        <v>793</v>
      </c>
      <c r="H2" s="53" t="s">
        <v>838</v>
      </c>
      <c r="I2" s="208" t="s">
        <v>853</v>
      </c>
    </row>
    <row r="3" spans="1:9" ht="14.5" customHeight="1" x14ac:dyDescent="0.5">
      <c r="A3" s="2" t="s">
        <v>4</v>
      </c>
      <c r="B3" s="3" t="s">
        <v>1397</v>
      </c>
      <c r="C3" s="6"/>
      <c r="D3" s="8" t="s">
        <v>1390</v>
      </c>
      <c r="E3" s="56" t="s">
        <v>1383</v>
      </c>
      <c r="F3" s="8" t="s">
        <v>746</v>
      </c>
      <c r="G3" s="8" t="s">
        <v>518</v>
      </c>
      <c r="H3" s="8"/>
      <c r="I3" s="211"/>
    </row>
    <row r="4" spans="1:9" x14ac:dyDescent="0.5">
      <c r="A4" s="2" t="s">
        <v>4</v>
      </c>
      <c r="B4" s="3" t="s">
        <v>1398</v>
      </c>
      <c r="C4" s="6"/>
      <c r="D4" s="8" t="s">
        <v>1391</v>
      </c>
      <c r="E4" s="56" t="s">
        <v>1384</v>
      </c>
      <c r="F4" s="8" t="s">
        <v>746</v>
      </c>
      <c r="G4" s="8" t="s">
        <v>518</v>
      </c>
      <c r="H4" s="8"/>
      <c r="I4" s="211"/>
    </row>
    <row r="5" spans="1:9" x14ac:dyDescent="0.5">
      <c r="A5" s="2" t="s">
        <v>4</v>
      </c>
      <c r="B5" s="3" t="s">
        <v>1399</v>
      </c>
      <c r="C5" s="6"/>
      <c r="D5" s="8" t="s">
        <v>1392</v>
      </c>
      <c r="E5" s="56" t="s">
        <v>1385</v>
      </c>
      <c r="F5" s="8" t="s">
        <v>746</v>
      </c>
      <c r="G5" s="8" t="s">
        <v>518</v>
      </c>
      <c r="H5" s="8"/>
      <c r="I5" s="211"/>
    </row>
    <row r="6" spans="1:9" x14ac:dyDescent="0.5">
      <c r="A6" s="2" t="s">
        <v>4</v>
      </c>
      <c r="B6" s="3" t="s">
        <v>1400</v>
      </c>
      <c r="C6" s="6"/>
      <c r="D6" s="8" t="s">
        <v>1393</v>
      </c>
      <c r="E6" s="56" t="s">
        <v>1386</v>
      </c>
      <c r="F6" s="8" t="s">
        <v>746</v>
      </c>
      <c r="G6" s="8" t="s">
        <v>518</v>
      </c>
      <c r="H6" s="8"/>
      <c r="I6" s="211"/>
    </row>
    <row r="7" spans="1:9" x14ac:dyDescent="0.5">
      <c r="A7" s="2" t="s">
        <v>4</v>
      </c>
      <c r="B7" s="3" t="s">
        <v>1401</v>
      </c>
      <c r="C7" s="6"/>
      <c r="D7" s="8" t="s">
        <v>1394</v>
      </c>
      <c r="E7" s="56" t="s">
        <v>1387</v>
      </c>
      <c r="F7" s="8" t="s">
        <v>746</v>
      </c>
      <c r="G7" s="8" t="s">
        <v>518</v>
      </c>
      <c r="H7" s="8"/>
      <c r="I7" s="211"/>
    </row>
    <row r="8" spans="1:9" x14ac:dyDescent="0.5">
      <c r="A8" s="2" t="s">
        <v>4</v>
      </c>
      <c r="B8" s="3" t="s">
        <v>1402</v>
      </c>
      <c r="C8" s="6"/>
      <c r="D8" s="8" t="s">
        <v>1395</v>
      </c>
      <c r="E8" s="56" t="s">
        <v>1388</v>
      </c>
      <c r="F8" s="8" t="s">
        <v>746</v>
      </c>
      <c r="G8" s="8" t="s">
        <v>518</v>
      </c>
      <c r="H8" s="8"/>
      <c r="I8" s="211"/>
    </row>
    <row r="9" spans="1:9" x14ac:dyDescent="0.5">
      <c r="A9" s="2" t="s">
        <v>4</v>
      </c>
      <c r="B9" s="3" t="s">
        <v>1403</v>
      </c>
      <c r="C9" s="6"/>
      <c r="D9" s="8" t="s">
        <v>1396</v>
      </c>
      <c r="E9" s="56" t="s">
        <v>1389</v>
      </c>
      <c r="F9" s="8" t="s">
        <v>746</v>
      </c>
      <c r="G9" s="8" t="s">
        <v>518</v>
      </c>
      <c r="H9" s="8"/>
      <c r="I9" s="212"/>
    </row>
  </sheetData>
  <mergeCells count="1">
    <mergeCell ref="I2:I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30D24-A473-4B0C-B5F7-F1EDDF69F868}">
  <dimension ref="A1:H3"/>
  <sheetViews>
    <sheetView workbookViewId="0">
      <selection activeCell="E21" sqref="E21"/>
    </sheetView>
  </sheetViews>
  <sheetFormatPr defaultRowHeight="14.35" x14ac:dyDescent="0.5"/>
  <cols>
    <col min="1" max="1" width="13.87890625" customWidth="1"/>
    <col min="2" max="2" width="19.703125" customWidth="1"/>
    <col min="3" max="3" width="18.87890625" customWidth="1"/>
    <col min="4" max="4" width="32.17578125" customWidth="1"/>
    <col min="5" max="5" width="10.8203125" customWidth="1"/>
    <col min="6" max="6" width="18.52734375" customWidth="1"/>
    <col min="7" max="7" width="10.703125" customWidth="1"/>
    <col min="8" max="8" width="21.17578125" customWidth="1"/>
  </cols>
  <sheetData>
    <row r="1" spans="1:8" x14ac:dyDescent="0.5">
      <c r="A1" s="9" t="s">
        <v>0</v>
      </c>
      <c r="B1" s="9" t="s">
        <v>1</v>
      </c>
      <c r="C1" s="26" t="s">
        <v>1436</v>
      </c>
      <c r="D1" s="26" t="s">
        <v>68</v>
      </c>
      <c r="E1" s="158" t="s">
        <v>745</v>
      </c>
      <c r="F1" s="159" t="s">
        <v>767</v>
      </c>
      <c r="G1" s="160" t="s">
        <v>770</v>
      </c>
      <c r="H1" s="161" t="s">
        <v>768</v>
      </c>
    </row>
    <row r="2" spans="1:8" x14ac:dyDescent="0.5">
      <c r="A2" s="2" t="s">
        <v>4</v>
      </c>
      <c r="B2" s="3" t="s">
        <v>1407</v>
      </c>
      <c r="C2" s="8" t="s">
        <v>1405</v>
      </c>
      <c r="D2" s="53" t="s">
        <v>1409</v>
      </c>
      <c r="E2" s="8" t="s">
        <v>746</v>
      </c>
      <c r="F2" s="8" t="s">
        <v>518</v>
      </c>
      <c r="G2" s="8"/>
      <c r="H2" s="8"/>
    </row>
    <row r="3" spans="1:8" x14ac:dyDescent="0.5">
      <c r="A3" s="2" t="s">
        <v>4</v>
      </c>
      <c r="B3" s="3" t="s">
        <v>1408</v>
      </c>
      <c r="C3" s="8" t="s">
        <v>1406</v>
      </c>
      <c r="D3" s="53" t="s">
        <v>1410</v>
      </c>
      <c r="E3" s="8" t="s">
        <v>746</v>
      </c>
      <c r="F3" s="8" t="s">
        <v>518</v>
      </c>
      <c r="G3" s="8"/>
      <c r="H3" s="8"/>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34DC1-F5CD-4994-8E27-A11C88551937}">
  <dimension ref="A1:H8"/>
  <sheetViews>
    <sheetView workbookViewId="0">
      <selection activeCell="C1" sqref="C1"/>
    </sheetView>
  </sheetViews>
  <sheetFormatPr defaultRowHeight="14.35" x14ac:dyDescent="0.5"/>
  <cols>
    <col min="1" max="1" width="12.17578125" customWidth="1"/>
    <col min="2" max="2" width="19.8203125" customWidth="1"/>
    <col min="3" max="3" width="17.703125" customWidth="1"/>
    <col min="4" max="4" width="33.87890625" customWidth="1"/>
    <col min="6" max="6" width="14.64453125" customWidth="1"/>
    <col min="7" max="7" width="11.29296875" customWidth="1"/>
    <col min="8" max="8" width="24.52734375" customWidth="1"/>
  </cols>
  <sheetData>
    <row r="1" spans="1:8" x14ac:dyDescent="0.5">
      <c r="A1" s="9" t="s">
        <v>0</v>
      </c>
      <c r="B1" s="9" t="s">
        <v>1</v>
      </c>
      <c r="C1" s="26" t="s">
        <v>1436</v>
      </c>
      <c r="D1" s="26" t="s">
        <v>68</v>
      </c>
      <c r="E1" s="158" t="s">
        <v>745</v>
      </c>
      <c r="F1" s="159" t="s">
        <v>767</v>
      </c>
      <c r="G1" s="160" t="s">
        <v>770</v>
      </c>
      <c r="H1" s="161" t="s">
        <v>768</v>
      </c>
    </row>
    <row r="2" spans="1:8" x14ac:dyDescent="0.5">
      <c r="A2" s="2" t="s">
        <v>4</v>
      </c>
      <c r="B2" s="3" t="s">
        <v>1418</v>
      </c>
      <c r="C2" s="8" t="s">
        <v>1411</v>
      </c>
      <c r="D2" s="45" t="s">
        <v>1425</v>
      </c>
      <c r="E2" s="8" t="s">
        <v>746</v>
      </c>
      <c r="F2" s="8" t="s">
        <v>518</v>
      </c>
      <c r="G2" s="8"/>
      <c r="H2" s="8"/>
    </row>
    <row r="3" spans="1:8" x14ac:dyDescent="0.5">
      <c r="A3" s="2" t="s">
        <v>4</v>
      </c>
      <c r="B3" s="3" t="s">
        <v>1419</v>
      </c>
      <c r="C3" s="8" t="s">
        <v>1412</v>
      </c>
      <c r="D3" s="45" t="s">
        <v>1426</v>
      </c>
      <c r="E3" s="8" t="s">
        <v>746</v>
      </c>
      <c r="F3" s="8" t="s">
        <v>518</v>
      </c>
      <c r="G3" s="8"/>
      <c r="H3" s="8"/>
    </row>
    <row r="4" spans="1:8" x14ac:dyDescent="0.5">
      <c r="A4" s="2" t="s">
        <v>4</v>
      </c>
      <c r="B4" s="3" t="s">
        <v>1420</v>
      </c>
      <c r="C4" s="8" t="s">
        <v>1413</v>
      </c>
      <c r="D4" s="45" t="s">
        <v>1427</v>
      </c>
      <c r="E4" s="8" t="s">
        <v>746</v>
      </c>
      <c r="F4" s="8" t="s">
        <v>518</v>
      </c>
      <c r="G4" s="8"/>
      <c r="H4" s="8"/>
    </row>
    <row r="5" spans="1:8" x14ac:dyDescent="0.5">
      <c r="A5" s="2" t="s">
        <v>4</v>
      </c>
      <c r="B5" s="3" t="s">
        <v>1421</v>
      </c>
      <c r="C5" s="8" t="s">
        <v>1414</v>
      </c>
      <c r="D5" s="45" t="s">
        <v>1428</v>
      </c>
      <c r="E5" s="8" t="s">
        <v>746</v>
      </c>
      <c r="F5" s="8" t="s">
        <v>518</v>
      </c>
      <c r="G5" s="8"/>
      <c r="H5" s="8"/>
    </row>
    <row r="6" spans="1:8" x14ac:dyDescent="0.5">
      <c r="A6" s="2" t="s">
        <v>4</v>
      </c>
      <c r="B6" s="3" t="s">
        <v>1422</v>
      </c>
      <c r="C6" s="8" t="s">
        <v>1415</v>
      </c>
      <c r="D6" s="45" t="s">
        <v>1429</v>
      </c>
      <c r="E6" s="8" t="s">
        <v>746</v>
      </c>
      <c r="F6" s="8" t="s">
        <v>518</v>
      </c>
      <c r="G6" s="8"/>
      <c r="H6" s="8"/>
    </row>
    <row r="7" spans="1:8" x14ac:dyDescent="0.5">
      <c r="A7" s="2" t="s">
        <v>4</v>
      </c>
      <c r="B7" s="3" t="s">
        <v>1423</v>
      </c>
      <c r="C7" s="8" t="s">
        <v>1416</v>
      </c>
      <c r="D7" s="45" t="s">
        <v>1430</v>
      </c>
      <c r="E7" s="8" t="s">
        <v>746</v>
      </c>
      <c r="F7" s="8" t="s">
        <v>518</v>
      </c>
      <c r="G7" s="8"/>
      <c r="H7" s="8"/>
    </row>
    <row r="8" spans="1:8" x14ac:dyDescent="0.5">
      <c r="A8" s="2" t="s">
        <v>4</v>
      </c>
      <c r="B8" s="3" t="s">
        <v>1424</v>
      </c>
      <c r="C8" s="8" t="s">
        <v>1417</v>
      </c>
      <c r="D8" s="45" t="s">
        <v>1431</v>
      </c>
      <c r="E8" s="8" t="s">
        <v>746</v>
      </c>
      <c r="F8" s="8" t="s">
        <v>518</v>
      </c>
      <c r="G8" s="8"/>
      <c r="H8" s="8"/>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264ED-449F-49C8-A2E9-95AECF60E277}">
  <dimension ref="A1:H2"/>
  <sheetViews>
    <sheetView workbookViewId="0">
      <selection activeCell="C1" sqref="C1"/>
    </sheetView>
  </sheetViews>
  <sheetFormatPr defaultRowHeight="14.35" x14ac:dyDescent="0.5"/>
  <cols>
    <col min="1" max="1" width="14.46875" customWidth="1"/>
    <col min="2" max="2" width="18.29296875" customWidth="1"/>
    <col min="3" max="3" width="20.87890625" customWidth="1"/>
    <col min="4" max="4" width="29.29296875" customWidth="1"/>
    <col min="6" max="6" width="17.3515625" customWidth="1"/>
    <col min="7" max="7" width="9.8203125" customWidth="1"/>
    <col min="8" max="8" width="24.703125" customWidth="1"/>
  </cols>
  <sheetData>
    <row r="1" spans="1:8" x14ac:dyDescent="0.5">
      <c r="A1" s="9" t="s">
        <v>0</v>
      </c>
      <c r="B1" s="9" t="s">
        <v>1</v>
      </c>
      <c r="C1" s="9" t="s">
        <v>1436</v>
      </c>
      <c r="D1" s="9" t="s">
        <v>68</v>
      </c>
      <c r="E1" s="82" t="s">
        <v>745</v>
      </c>
      <c r="F1" s="83" t="s">
        <v>767</v>
      </c>
      <c r="G1" s="84" t="s">
        <v>770</v>
      </c>
      <c r="H1" s="85" t="s">
        <v>768</v>
      </c>
    </row>
    <row r="2" spans="1:8" x14ac:dyDescent="0.5">
      <c r="A2" s="2" t="s">
        <v>4</v>
      </c>
      <c r="B2" s="3" t="s">
        <v>1432</v>
      </c>
      <c r="C2" s="8" t="s">
        <v>1433</v>
      </c>
      <c r="D2" s="8" t="s">
        <v>1434</v>
      </c>
      <c r="E2" s="8" t="s">
        <v>746</v>
      </c>
      <c r="F2" s="8" t="s">
        <v>518</v>
      </c>
      <c r="G2" s="8"/>
      <c r="H2" s="8" t="s">
        <v>1435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F43A0-97E1-49AE-BD73-FA4B4BC80CF4}">
  <dimension ref="A1:D2"/>
  <sheetViews>
    <sheetView workbookViewId="0">
      <selection activeCell="C4" sqref="C4"/>
    </sheetView>
  </sheetViews>
  <sheetFormatPr defaultRowHeight="14.35" x14ac:dyDescent="0.5"/>
  <cols>
    <col min="2" max="2" width="35.3515625" customWidth="1"/>
    <col min="3" max="3" width="14.29296875" customWidth="1"/>
    <col min="4" max="4" width="41.29296875" customWidth="1"/>
  </cols>
  <sheetData>
    <row r="1" spans="1:4" x14ac:dyDescent="0.5">
      <c r="A1" s="9" t="s">
        <v>0</v>
      </c>
      <c r="B1" s="9" t="s">
        <v>1</v>
      </c>
      <c r="C1" s="9" t="s">
        <v>729</v>
      </c>
      <c r="D1" s="9" t="s">
        <v>210</v>
      </c>
    </row>
    <row r="2" spans="1:4" ht="71.7" x14ac:dyDescent="0.5">
      <c r="A2" s="2" t="s">
        <v>4</v>
      </c>
      <c r="B2" s="3" t="s">
        <v>728</v>
      </c>
      <c r="C2" s="31" t="s">
        <v>727</v>
      </c>
      <c r="D2" s="32" t="s">
        <v>726</v>
      </c>
    </row>
  </sheetData>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zlfq xmlns="26e9df72-99ab-4ac9-880b-a5d437b1a00e" xsi:nil="true"/>
    <Comentarios xmlns="26e9df72-99ab-4ac9-880b-a5d437b1a00e" xsi:nil="true"/>
    <_Flow_SignoffStatus xmlns="26e9df72-99ab-4ac9-880b-a5d437b1a00e" xsi:nil="true"/>
    <Description0 xmlns="26e9df72-99ab-4ac9-880b-a5d437b1a00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E1667994D87894CB7E062F58C3C3F4F" ma:contentTypeVersion="17" ma:contentTypeDescription="Create a new document." ma:contentTypeScope="" ma:versionID="a0f80ce5d84d9695525cf9597078c03f">
  <xsd:schema xmlns:xsd="http://www.w3.org/2001/XMLSchema" xmlns:xs="http://www.w3.org/2001/XMLSchema" xmlns:p="http://schemas.microsoft.com/office/2006/metadata/properties" xmlns:ns2="26e9df72-99ab-4ac9-880b-a5d437b1a00e" xmlns:ns3="0a4e21ad-004e-4010-9f88-e63540d2b45d" targetNamespace="http://schemas.microsoft.com/office/2006/metadata/properties" ma:root="true" ma:fieldsID="140e4fa4414fd6915764dd09e3697927" ns2:_="" ns3:_="">
    <xsd:import namespace="26e9df72-99ab-4ac9-880b-a5d437b1a00e"/>
    <xsd:import namespace="0a4e21ad-004e-4010-9f88-e63540d2b45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Location" minOccurs="0"/>
                <xsd:element ref="ns2:MediaServiceOCR" minOccurs="0"/>
                <xsd:element ref="ns2:_Flow_SignoffStatus" minOccurs="0"/>
                <xsd:element ref="ns2:Comentarios" minOccurs="0"/>
                <xsd:element ref="ns2:zlfq" minOccurs="0"/>
                <xsd:element ref="ns2:Description0"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e9df72-99ab-4ac9-880b-a5d437b1a0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Location" ma:index="14" nillable="true" ma:displayName="MediaServiceLoca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_Flow_SignoffStatus" ma:index="16" nillable="true" ma:displayName="Sign-off status" ma:internalName="_x0024_Resources_x003a_core_x002c_Signoff_Status_x003b_">
      <xsd:simpleType>
        <xsd:restriction base="dms:Text"/>
      </xsd:simpleType>
    </xsd:element>
    <xsd:element name="Comentarios" ma:index="17" nillable="true" ma:displayName="Comentarios" ma:format="Dropdown" ma:internalName="Comentarios">
      <xsd:simpleType>
        <xsd:restriction base="dms:Note">
          <xsd:maxLength value="255"/>
        </xsd:restriction>
      </xsd:simpleType>
    </xsd:element>
    <xsd:element name="zlfq" ma:index="18" nillable="true" ma:displayName="Texto" ma:internalName="zlfq">
      <xsd:simpleType>
        <xsd:restriction base="dms:Text"/>
      </xsd:simpleType>
    </xsd:element>
    <xsd:element name="Description0" ma:index="19" nillable="true" ma:displayName="Description" ma:format="Dropdown" ma:internalName="Description0">
      <xsd:simpleType>
        <xsd:restriction base="dms:Text">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a4e21ad-004e-4010-9f88-e63540d2b45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056396-F8E4-462E-AC2B-EF323DE61994}">
  <ds:schemaRefs>
    <ds:schemaRef ds:uri="http://schemas.microsoft.com/sharepoint/v3/contenttype/forms"/>
  </ds:schemaRefs>
</ds:datastoreItem>
</file>

<file path=customXml/itemProps2.xml><?xml version="1.0" encoding="utf-8"?>
<ds:datastoreItem xmlns:ds="http://schemas.openxmlformats.org/officeDocument/2006/customXml" ds:itemID="{F90BE6C7-4F95-451F-97D6-615125006AA4}">
  <ds:schemaRefs>
    <ds:schemaRef ds:uri="http://purl.org/dc/dcmityp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0a4e21ad-004e-4010-9f88-e63540d2b45d"/>
    <ds:schemaRef ds:uri="26e9df72-99ab-4ac9-880b-a5d437b1a00e"/>
    <ds:schemaRef ds:uri="http://www.w3.org/XML/1998/namespace"/>
    <ds:schemaRef ds:uri="http://purl.org/dc/terms/"/>
  </ds:schemaRefs>
</ds:datastoreItem>
</file>

<file path=customXml/itemProps3.xml><?xml version="1.0" encoding="utf-8"?>
<ds:datastoreItem xmlns:ds="http://schemas.openxmlformats.org/officeDocument/2006/customXml" ds:itemID="{AA559DA2-4C8F-485A-80CB-8AABD1632A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e9df72-99ab-4ac9-880b-a5d437b1a00e"/>
    <ds:schemaRef ds:uri="0a4e21ad-004e-4010-9f88-e63540d2b4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2e84ceb-fbfd-47ab-be52-080c6b87953f}" enabled="0" method="" siteId="{92e84ceb-fbfd-47ab-be52-080c6b87953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Usage of Sheet</vt:lpstr>
      <vt:lpstr>Home Page</vt:lpstr>
      <vt:lpstr>ESM</vt:lpstr>
      <vt:lpstr>Add Node</vt:lpstr>
      <vt:lpstr>SHM</vt:lpstr>
      <vt:lpstr>CMCLI</vt:lpstr>
      <vt:lpstr>ClientScripting</vt:lpstr>
      <vt:lpstr>Configuration Management</vt:lpstr>
      <vt:lpstr>Bulk Configuration</vt:lpstr>
      <vt:lpstr>Security PKI</vt:lpstr>
      <vt:lpstr>Network Viewer</vt:lpstr>
      <vt:lpstr>NHC</vt:lpstr>
      <vt:lpstr>Topology Browser</vt:lpstr>
      <vt:lpstr>AutoID</vt:lpstr>
      <vt:lpstr>Parameter Management</vt:lpstr>
      <vt:lpstr>FMX</vt:lpstr>
      <vt:lpstr>Cell Management</vt:lpstr>
      <vt:lpstr>LV</vt:lpstr>
      <vt:lpstr>IDAM</vt:lpstr>
      <vt:lpstr>WinFIOL</vt:lpstr>
      <vt:lpstr>PLM</vt:lpstr>
      <vt:lpstr>High Availability</vt:lpstr>
      <vt:lpstr>Auto Provisioning</vt:lpstr>
      <vt:lpstr>User Management</vt:lpstr>
      <vt:lpstr>CM Add and Synchronize Node</vt:lpstr>
      <vt:lpstr>PMIC</vt:lpstr>
      <vt:lpstr>NHM</vt:lpstr>
      <vt:lpstr>FM</vt:lpstr>
      <vt:lpstr>AMOS</vt:lpstr>
      <vt:lpstr>NetworkExplorer</vt:lpstr>
      <vt:lpstr>License Control and Monitoring</vt:lpstr>
      <vt:lpstr>OPS</vt:lpstr>
      <vt:lpstr>Release Independence</vt:lpstr>
      <vt:lpstr>NCM</vt:lpstr>
      <vt:lpstr>Cleanup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Chanpreet Kaur</dc:creator>
  <cp:lastModifiedBy>Asif . A</cp:lastModifiedBy>
  <dcterms:created xsi:type="dcterms:W3CDTF">2018-06-20T09:39:00Z</dcterms:created>
  <dcterms:modified xsi:type="dcterms:W3CDTF">2026-02-19T09:08:42Z</dcterms:modified>
</cp:coreProperties>
</file>